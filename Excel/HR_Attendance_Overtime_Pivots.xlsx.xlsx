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ca2ace31bff3991/Documents/HR - PROJECT/"/>
    </mc:Choice>
  </mc:AlternateContent>
  <xr:revisionPtr revIDLastSave="66" documentId="8_{0671DC2F-66CF-4913-867C-C76F0D6F1C7C}" xr6:coauthVersionLast="47" xr6:coauthVersionMax="47" xr10:uidLastSave="{1D6DAC0F-9CB5-42C8-9D6D-3469A08DBEBA}"/>
  <bookViews>
    <workbookView xWindow="-108" yWindow="-108" windowWidth="23256" windowHeight="12456" firstSheet="2" activeTab="4" xr2:uid="{F4D0116A-5A18-458C-A2CE-3A7F5E097CD3}"/>
  </bookViews>
  <sheets>
    <sheet name="hr_daily_fact" sheetId="1" r:id="rId1"/>
    <sheet name="hr_employee_dim" sheetId="2" r:id="rId2"/>
    <sheet name="Monthly Worked Hours" sheetId="6" r:id="rId3"/>
    <sheet name="Overtime Summary" sheetId="7" r:id="rId4"/>
    <sheet name="Department Strength" sheetId="8" r:id="rId5"/>
  </sheets>
  <definedNames>
    <definedName name="_xlcn.WorksheetConnection_hr_daily_factA1N931" hidden="1">hr_daily_fact!$A$1:$N$93</definedName>
  </definedNames>
  <calcPr calcId="0"/>
  <pivotCaches>
    <pivotCache cacheId="52" r:id="rId6"/>
    <pivotCache cacheId="76" r:id="rId7"/>
    <pivotCache cacheId="79" r:id="rId8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hr_daily_fact!$A$1:$N$93"/>
        </x15:modelTables>
      </x15:dataModel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F5F57D5-2307-4729-BC51-FC6AFB1295C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937C77C-0397-409C-A190-027E98B8E817}" name="WorksheetConnection_hr_daily_fact!$A$1:$N$93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hr_daily_factA1N931"/>
        </x15:connection>
      </ext>
    </extLst>
  </connection>
</connections>
</file>

<file path=xl/sharedStrings.xml><?xml version="1.0" encoding="utf-8"?>
<sst xmlns="http://schemas.openxmlformats.org/spreadsheetml/2006/main" count="528" uniqueCount="135">
  <si>
    <t>employee_id</t>
  </si>
  <si>
    <t>date</t>
  </si>
  <si>
    <t>in_ts</t>
  </si>
  <si>
    <t>out_ts</t>
  </si>
  <si>
    <t>worked_hours</t>
  </si>
  <si>
    <t>shift_id</t>
  </si>
  <si>
    <t>standard_hours_per_day</t>
  </si>
  <si>
    <t>overtime_hours</t>
  </si>
  <si>
    <t>absent_flag</t>
  </si>
  <si>
    <t>leave_type</t>
  </si>
  <si>
    <t>is_paid_leave</t>
  </si>
  <si>
    <t>true_absent</t>
  </si>
  <si>
    <t>E001</t>
  </si>
  <si>
    <t>S1</t>
  </si>
  <si>
    <t>E002</t>
  </si>
  <si>
    <t>E003</t>
  </si>
  <si>
    <t>S2</t>
  </si>
  <si>
    <t>E004</t>
  </si>
  <si>
    <t>E005</t>
  </si>
  <si>
    <t>E006</t>
  </si>
  <si>
    <t>E007</t>
  </si>
  <si>
    <t>E008</t>
  </si>
  <si>
    <t>S3</t>
  </si>
  <si>
    <t>E009</t>
  </si>
  <si>
    <t>E010</t>
  </si>
  <si>
    <t>E011</t>
  </si>
  <si>
    <t>E012</t>
  </si>
  <si>
    <t>E013</t>
  </si>
  <si>
    <t>E014</t>
  </si>
  <si>
    <t>E015</t>
  </si>
  <si>
    <t>Casual</t>
  </si>
  <si>
    <t>E016</t>
  </si>
  <si>
    <t>E017</t>
  </si>
  <si>
    <t>E018</t>
  </si>
  <si>
    <t>E019</t>
  </si>
  <si>
    <t>E020</t>
  </si>
  <si>
    <t>E021</t>
  </si>
  <si>
    <t>E022</t>
  </si>
  <si>
    <t>E023</t>
  </si>
  <si>
    <t>E024</t>
  </si>
  <si>
    <t>E025</t>
  </si>
  <si>
    <t>E026</t>
  </si>
  <si>
    <t>E027</t>
  </si>
  <si>
    <t>E028</t>
  </si>
  <si>
    <t>E029</t>
  </si>
  <si>
    <t>E030</t>
  </si>
  <si>
    <t>emp_name</t>
  </si>
  <si>
    <t>hire_date</t>
  </si>
  <si>
    <t>termination_date</t>
  </si>
  <si>
    <t>department_id</t>
  </si>
  <si>
    <t>job_role</t>
  </si>
  <si>
    <t>payroll_grade</t>
  </si>
  <si>
    <t>department_name</t>
  </si>
  <si>
    <t>manager_id</t>
  </si>
  <si>
    <t>Aarav Sharma</t>
  </si>
  <si>
    <t>D01</t>
  </si>
  <si>
    <t>Data Analyst</t>
  </si>
  <si>
    <t>G4</t>
  </si>
  <si>
    <t>Analytics</t>
  </si>
  <si>
    <t>Diya Verma</t>
  </si>
  <si>
    <t>Senior Data Analyst</t>
  </si>
  <si>
    <t>G5</t>
  </si>
  <si>
    <t>Rahul Jain</t>
  </si>
  <si>
    <t>D02</t>
  </si>
  <si>
    <t>HR Executive</t>
  </si>
  <si>
    <t>G3</t>
  </si>
  <si>
    <t>Human Resources</t>
  </si>
  <si>
    <t>Ananya Singh</t>
  </si>
  <si>
    <t>D03</t>
  </si>
  <si>
    <t>Software Engineer</t>
  </si>
  <si>
    <t>Engineering</t>
  </si>
  <si>
    <t>Vikram Rao</t>
  </si>
  <si>
    <t>Senior Developer</t>
  </si>
  <si>
    <t>G6</t>
  </si>
  <si>
    <t>Neha Gupta</t>
  </si>
  <si>
    <t>D04</t>
  </si>
  <si>
    <t>Accountant</t>
  </si>
  <si>
    <t>Finance</t>
  </si>
  <si>
    <t>Arjun Mehta</t>
  </si>
  <si>
    <t>Finance Manager</t>
  </si>
  <si>
    <t>Isha Nair</t>
  </si>
  <si>
    <t>D05</t>
  </si>
  <si>
    <t>Support Engineer</t>
  </si>
  <si>
    <t>IT Support</t>
  </si>
  <si>
    <t>Kunal Patel</t>
  </si>
  <si>
    <t>Support Lead</t>
  </si>
  <si>
    <t>Pooja Desai</t>
  </si>
  <si>
    <t>HR Manager</t>
  </si>
  <si>
    <t>Rohan Das</t>
  </si>
  <si>
    <t>BI Developer</t>
  </si>
  <si>
    <t>Sneha Kulkarni</t>
  </si>
  <si>
    <t>QA Engineer</t>
  </si>
  <si>
    <t>Aditya Mishra</t>
  </si>
  <si>
    <t>Data Engineer</t>
  </si>
  <si>
    <t>Kritika Yadav</t>
  </si>
  <si>
    <t>Senior Accountant</t>
  </si>
  <si>
    <t>Manish Kumar</t>
  </si>
  <si>
    <t>Tech Lead</t>
  </si>
  <si>
    <t>G7</t>
  </si>
  <si>
    <t>Shreya Iyer</t>
  </si>
  <si>
    <t>Service Desk Agent</t>
  </si>
  <si>
    <t>G2</t>
  </si>
  <si>
    <t>Siddharth Roy</t>
  </si>
  <si>
    <t>Recruiter</t>
  </si>
  <si>
    <t>Tanvi Bose</t>
  </si>
  <si>
    <t>Junior Analyst</t>
  </si>
  <si>
    <t>Harsh Vardhan</t>
  </si>
  <si>
    <t>Backend Developer</t>
  </si>
  <si>
    <t>Mahi Chawla</t>
  </si>
  <si>
    <t>Payroll Specialist</t>
  </si>
  <si>
    <t>Pranav Menon</t>
  </si>
  <si>
    <t>Implementation Engineer</t>
  </si>
  <si>
    <t>Meera Joshi</t>
  </si>
  <si>
    <t>Reporting Analyst</t>
  </si>
  <si>
    <t>Yash Garg</t>
  </si>
  <si>
    <t>HR Generalist</t>
  </si>
  <si>
    <t>Nikita Reddy</t>
  </si>
  <si>
    <t>Automation Engineer</t>
  </si>
  <si>
    <t>Amit Sinha</t>
  </si>
  <si>
    <t>Finance Analyst</t>
  </si>
  <si>
    <t>Ritika Kapoor</t>
  </si>
  <si>
    <t>Customer Success Exec</t>
  </si>
  <si>
    <t>Varun Saxena</t>
  </si>
  <si>
    <t>Lead Analyst</t>
  </si>
  <si>
    <t>Sara Khan</t>
  </si>
  <si>
    <t>HR Coordinator</t>
  </si>
  <si>
    <t>Deepak Talwar</t>
  </si>
  <si>
    <t>Frontend Developer</t>
  </si>
  <si>
    <t>Karishma Paul</t>
  </si>
  <si>
    <t>Business Analyst</t>
  </si>
  <si>
    <t>Row Labels</t>
  </si>
  <si>
    <t>Grand Total</t>
  </si>
  <si>
    <t>Sum of worked_hours</t>
  </si>
  <si>
    <t>Sum of overtime_hours</t>
  </si>
  <si>
    <t>Count of employee_id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</si>
</sst>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hamed Yasin" refreshedDate="46001.535842708334" createdVersion="8" refreshedVersion="8" minRefreshableVersion="3" recordCount="92" xr:uid="{9CFA8BE8-32BF-4D48-AB6F-9EAD32A1024C}">
  <cacheSource type="worksheet">
    <worksheetSource ref="A1:N93" sheet="hr_daily_fact"/>
  </cacheSource>
  <cacheFields count="14">
    <cacheField name="employee_id" numFmtId="0">
      <sharedItems/>
    </cacheField>
    <cacheField name="date" numFmtId="14">
      <sharedItems containsSemiMixedTypes="0" containsNonDate="0" containsDate="1" containsString="0" minDate="2025-01-02T00:00:00" maxDate="2025-02-06T00:00:00"/>
    </cacheField>
    <cacheField name="in_ts" numFmtId="22">
      <sharedItems containsSemiMixedTypes="0" containsNonDate="0" containsDate="1" containsString="0" minDate="2025-01-02T09:02:00" maxDate="2025-02-05T09:18:00"/>
    </cacheField>
    <cacheField name="out_ts" numFmtId="22">
      <sharedItems containsSemiMixedTypes="0" containsNonDate="0" containsDate="1" containsString="0" minDate="2025-01-02T18:05:00" maxDate="2025-02-05T18:25:00"/>
    </cacheField>
    <cacheField name="worked_hours" numFmtId="0">
      <sharedItems containsSemiMixedTypes="0" containsString="0" containsNumber="1" minValue="8.9166666666666607" maxValue="9.1666666666666607"/>
    </cacheField>
    <cacheField name="shift_id" numFmtId="0">
      <sharedItems/>
    </cacheField>
    <cacheField name="standard_hours_per_day" numFmtId="0">
      <sharedItems containsSemiMixedTypes="0" containsString="0" containsNumber="1" containsInteger="1" minValue="8" maxValue="8"/>
    </cacheField>
    <cacheField name="overtime_hours" numFmtId="0">
      <sharedItems containsSemiMixedTypes="0" containsString="0" containsNumber="1" minValue="0.91666666666666596" maxValue="1.1666666666666601"/>
    </cacheField>
    <cacheField name="absent_flag" numFmtId="0">
      <sharedItems/>
    </cacheField>
    <cacheField name="leave_type" numFmtId="0">
      <sharedItems containsBlank="1"/>
    </cacheField>
    <cacheField name="is_paid_leave" numFmtId="0">
      <sharedItems/>
    </cacheField>
    <cacheField name="true_absent" numFmtId="0">
      <sharedItems/>
    </cacheField>
    <cacheField name="emp_name" numFmtId="0">
      <sharedItems/>
    </cacheField>
    <cacheField name="department_name" numFmtId="0">
      <sharedItems count="5">
        <s v="Analytics"/>
        <s v="Human Resources"/>
        <s v="Engineering"/>
        <s v="Finance"/>
        <s v="IT Suppor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hamed Yasin" refreshedDate="46001.533723148146" backgroundQuery="1" createdVersion="8" refreshedVersion="8" minRefreshableVersion="3" recordCount="0" supportSubquery="1" supportAdvancedDrill="1" xr:uid="{3099CDAB-5C52-467B-B535-312AF789DCB4}">
  <cacheSource type="external" connectionId="1"/>
  <cacheFields count="3">
    <cacheField name="[Range].[employee_id].[employee_id]" caption="employee_id" numFmtId="0" level="1">
      <sharedItems count="30">
        <s v="E001"/>
        <s v="E002"/>
        <s v="E003"/>
        <s v="E004"/>
        <s v="E005"/>
        <s v="E006"/>
        <s v="E007"/>
        <s v="E008"/>
        <s v="E009"/>
        <s v="E010"/>
        <s v="E011"/>
        <s v="E012"/>
        <s v="E013"/>
        <s v="E014"/>
        <s v="E015"/>
        <s v="E016"/>
        <s v="E017"/>
        <s v="E018"/>
        <s v="E019"/>
        <s v="E020"/>
        <s v="E021"/>
        <s v="E022"/>
        <s v="E023"/>
        <s v="E024"/>
        <s v="E025"/>
        <s v="E026"/>
        <s v="E027"/>
        <s v="E028"/>
        <s v="E029"/>
        <s v="E030"/>
      </sharedItems>
    </cacheField>
    <cacheField name="[Measures].[Sum of worked_hours]" caption="Sum of worked_hours" numFmtId="0" hierarchy="16" level="32767"/>
    <cacheField name="[Range].[emp_name].[emp_name]" caption="emp_name" numFmtId="0" hierarchy="12" level="1">
      <sharedItems count="30">
        <s v="Aarav Sharma"/>
        <s v="Diya Verma"/>
        <s v="Rahul Jain"/>
        <s v="Ananya Singh"/>
        <s v="Vikram Rao"/>
        <s v="Neha Gupta"/>
        <s v="Arjun Mehta"/>
        <s v="Isha Nair"/>
        <s v="Kunal Patel"/>
        <s v="Pooja Desai"/>
        <s v="Rohan Das"/>
        <s v="Sneha Kulkarni"/>
        <s v="Aditya Mishra"/>
        <s v="Kritika Yadav"/>
        <s v="Manish Kumar"/>
        <s v="Shreya Iyer"/>
        <s v="Siddharth Roy"/>
        <s v="Tanvi Bose"/>
        <s v="Harsh Vardhan"/>
        <s v="Mahi Chawla"/>
        <s v="Pranav Menon"/>
        <s v="Meera Joshi"/>
        <s v="Yash Garg"/>
        <s v="Nikita Reddy"/>
        <s v="Amit Sinha"/>
        <s v="Ritika Kapoor"/>
        <s v="Varun Saxena"/>
        <s v="Sara Khan"/>
        <s v="Deepak Talwar"/>
        <s v="Karishma Paul"/>
      </sharedItems>
    </cacheField>
  </cacheFields>
  <cacheHierarchies count="20">
    <cacheHierarchy uniqueName="[Range].[employee_id]" caption="employee_id" attribute="1" defaultMemberUniqueName="[Range].[employee_id].[All]" allUniqueName="[Range].[employee_id].[All]" dimensionUniqueName="[Range]" displayFolder="" count="2" memberValueDatatype="130" unbalanced="0">
      <fieldsUsage count="2">
        <fieldUsage x="-1"/>
        <fieldUsage x="0"/>
      </fieldsUsage>
    </cacheHierarchy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in_ts]" caption="in_ts" attribute="1" time="1" defaultMemberUniqueName="[Range].[in_ts].[All]" allUniqueName="[Range].[in_ts].[All]" dimensionUniqueName="[Range]" displayFolder="" count="0" memberValueDatatype="7" unbalanced="0"/>
    <cacheHierarchy uniqueName="[Range].[out_ts]" caption="out_ts" attribute="1" time="1" defaultMemberUniqueName="[Range].[out_ts].[All]" allUniqueName="[Range].[out_ts].[All]" dimensionUniqueName="[Range]" displayFolder="" count="0" memberValueDatatype="7" unbalanced="0"/>
    <cacheHierarchy uniqueName="[Range].[worked_hours]" caption="worked_hours" attribute="1" defaultMemberUniqueName="[Range].[worked_hours].[All]" allUniqueName="[Range].[worked_hours].[All]" dimensionUniqueName="[Range]" displayFolder="" count="0" memberValueDatatype="5" unbalanced="0"/>
    <cacheHierarchy uniqueName="[Range].[shift_id]" caption="shift_id" attribute="1" defaultMemberUniqueName="[Range].[shift_id].[All]" allUniqueName="[Range].[shift_id].[All]" dimensionUniqueName="[Range]" displayFolder="" count="0" memberValueDatatype="130" unbalanced="0"/>
    <cacheHierarchy uniqueName="[Range].[standard_hours_per_day]" caption="standard_hours_per_day" attribute="1" defaultMemberUniqueName="[Range].[standard_hours_per_day].[All]" allUniqueName="[Range].[standard_hours_per_day].[All]" dimensionUniqueName="[Range]" displayFolder="" count="0" memberValueDatatype="20" unbalanced="0"/>
    <cacheHierarchy uniqueName="[Range].[overtime_hours]" caption="overtime_hours" attribute="1" defaultMemberUniqueName="[Range].[overtime_hours].[All]" allUniqueName="[Range].[overtime_hours].[All]" dimensionUniqueName="[Range]" displayFolder="" count="0" memberValueDatatype="5" unbalanced="0"/>
    <cacheHierarchy uniqueName="[Range].[absent_flag]" caption="absent_flag" attribute="1" defaultMemberUniqueName="[Range].[absent_flag].[All]" allUniqueName="[Range].[absent_flag].[All]" dimensionUniqueName="[Range]" displayFolder="" count="0" memberValueDatatype="11" unbalanced="0"/>
    <cacheHierarchy uniqueName="[Range].[leave_type]" caption="leave_type" attribute="1" defaultMemberUniqueName="[Range].[leave_type].[All]" allUniqueName="[Range].[leave_type].[All]" dimensionUniqueName="[Range]" displayFolder="" count="0" memberValueDatatype="130" unbalanced="0"/>
    <cacheHierarchy uniqueName="[Range].[is_paid_leave]" caption="is_paid_leave" attribute="1" defaultMemberUniqueName="[Range].[is_paid_leave].[All]" allUniqueName="[Range].[is_paid_leave].[All]" dimensionUniqueName="[Range]" displayFolder="" count="0" memberValueDatatype="11" unbalanced="0"/>
    <cacheHierarchy uniqueName="[Range].[true_absent]" caption="true_absent" attribute="1" defaultMemberUniqueName="[Range].[true_absent].[All]" allUniqueName="[Range].[true_absent].[All]" dimensionUniqueName="[Range]" displayFolder="" count="0" memberValueDatatype="11" unbalanced="0"/>
    <cacheHierarchy uniqueName="[Range].[emp_name]" caption="emp_name" attribute="1" defaultMemberUniqueName="[Range].[emp_name].[All]" allUniqueName="[Range].[emp_name].[All]" dimensionUniqueName="[Range]" displayFolder="" count="2" memberValueDatatype="130" unbalanced="0">
      <fieldsUsage count="2">
        <fieldUsage x="-1"/>
        <fieldUsage x="2"/>
      </fieldsUsage>
    </cacheHierarchy>
    <cacheHierarchy uniqueName="[Range].[department_name]" caption="department_name" attribute="1" defaultMemberUniqueName="[Range].[department_name].[All]" allUniqueName="[Range].[department_name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worked_hours]" caption="Sum of worked_hours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emp_name]" caption="Count of emp_name" measure="1" displayFolder="" measureGroup="Range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date]" caption="Count of date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employee_id]" caption="Count of employee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hamed Yasin" refreshedDate="46001.538030787036" backgroundQuery="1" createdVersion="8" refreshedVersion="8" minRefreshableVersion="3" recordCount="0" supportSubquery="1" supportAdvancedDrill="1" xr:uid="{B8F14968-B56A-4C76-8691-9BD53D10444B}">
  <cacheSource type="external" connectionId="1"/>
  <cacheFields count="2">
    <cacheField name="[Range].[department_name].[department_name]" caption="department_name" numFmtId="0" hierarchy="13" level="1">
      <sharedItems count="5">
        <s v="Analytics"/>
        <s v="Engineering"/>
        <s v="Finance"/>
        <s v="Human Resources"/>
        <s v="IT Support"/>
      </sharedItems>
    </cacheField>
    <cacheField name="[Measures].[Count of employee_id]" caption="Count of employee_id" numFmtId="0" hierarchy="19" level="32767"/>
  </cacheFields>
  <cacheHierarchies count="20">
    <cacheHierarchy uniqueName="[Range].[employee_id]" caption="employee_id" attribute="1" defaultMemberUniqueName="[Range].[employee_id].[All]" allUniqueName="[Range].[employee_id].[All]" dimensionUniqueName="[Range]" displayFolder="" count="0" memberValueDatatype="130" unbalanced="0"/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in_ts]" caption="in_ts" attribute="1" time="1" defaultMemberUniqueName="[Range].[in_ts].[All]" allUniqueName="[Range].[in_ts].[All]" dimensionUniqueName="[Range]" displayFolder="" count="0" memberValueDatatype="7" unbalanced="0"/>
    <cacheHierarchy uniqueName="[Range].[out_ts]" caption="out_ts" attribute="1" time="1" defaultMemberUniqueName="[Range].[out_ts].[All]" allUniqueName="[Range].[out_ts].[All]" dimensionUniqueName="[Range]" displayFolder="" count="0" memberValueDatatype="7" unbalanced="0"/>
    <cacheHierarchy uniqueName="[Range].[worked_hours]" caption="worked_hours" attribute="1" defaultMemberUniqueName="[Range].[worked_hours].[All]" allUniqueName="[Range].[worked_hours].[All]" dimensionUniqueName="[Range]" displayFolder="" count="0" memberValueDatatype="5" unbalanced="0"/>
    <cacheHierarchy uniqueName="[Range].[shift_id]" caption="shift_id" attribute="1" defaultMemberUniqueName="[Range].[shift_id].[All]" allUniqueName="[Range].[shift_id].[All]" dimensionUniqueName="[Range]" displayFolder="" count="0" memberValueDatatype="130" unbalanced="0"/>
    <cacheHierarchy uniqueName="[Range].[standard_hours_per_day]" caption="standard_hours_per_day" attribute="1" defaultMemberUniqueName="[Range].[standard_hours_per_day].[All]" allUniqueName="[Range].[standard_hours_per_day].[All]" dimensionUniqueName="[Range]" displayFolder="" count="0" memberValueDatatype="20" unbalanced="0"/>
    <cacheHierarchy uniqueName="[Range].[overtime_hours]" caption="overtime_hours" attribute="1" defaultMemberUniqueName="[Range].[overtime_hours].[All]" allUniqueName="[Range].[overtime_hours].[All]" dimensionUniqueName="[Range]" displayFolder="" count="0" memberValueDatatype="5" unbalanced="0"/>
    <cacheHierarchy uniqueName="[Range].[absent_flag]" caption="absent_flag" attribute="1" defaultMemberUniqueName="[Range].[absent_flag].[All]" allUniqueName="[Range].[absent_flag].[All]" dimensionUniqueName="[Range]" displayFolder="" count="0" memberValueDatatype="11" unbalanced="0"/>
    <cacheHierarchy uniqueName="[Range].[leave_type]" caption="leave_type" attribute="1" defaultMemberUniqueName="[Range].[leave_type].[All]" allUniqueName="[Range].[leave_type].[All]" dimensionUniqueName="[Range]" displayFolder="" count="0" memberValueDatatype="130" unbalanced="0"/>
    <cacheHierarchy uniqueName="[Range].[is_paid_leave]" caption="is_paid_leave" attribute="1" defaultMemberUniqueName="[Range].[is_paid_leave].[All]" allUniqueName="[Range].[is_paid_leave].[All]" dimensionUniqueName="[Range]" displayFolder="" count="0" memberValueDatatype="11" unbalanced="0"/>
    <cacheHierarchy uniqueName="[Range].[true_absent]" caption="true_absent" attribute="1" defaultMemberUniqueName="[Range].[true_absent].[All]" allUniqueName="[Range].[true_absent].[All]" dimensionUniqueName="[Range]" displayFolder="" count="0" memberValueDatatype="11" unbalanced="0"/>
    <cacheHierarchy uniqueName="[Range].[emp_name]" caption="emp_name" attribute="1" defaultMemberUniqueName="[Range].[emp_name].[All]" allUniqueName="[Range].[emp_name].[All]" dimensionUniqueName="[Range]" displayFolder="" count="0" memberValueDatatype="130" unbalanced="0"/>
    <cacheHierarchy uniqueName="[Range].[department_name]" caption="department_name" attribute="1" defaultMemberUniqueName="[Range].[department_name].[All]" allUniqueName="[Range].[department_name].[All]" dimensionUniqueName="[Range]" displayFolder="" count="2" memberValueDatatype="130" unbalanced="0">
      <fieldsUsage count="2">
        <fieldUsage x="-1"/>
        <fieldUsage x="0"/>
      </fieldsUsage>
    </cacheHierarchy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worked_hours]" caption="Sum of worked_hours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emp_name]" caption="Count of emp_name" measure="1" displayFolder="" measureGroup="Range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date]" caption="Count of date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employee_id]" caption="Count of employee_id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2">
  <r>
    <s v="E001"/>
    <d v="2025-01-02T00:00:00"/>
    <d v="2025-01-02T09:02:00"/>
    <d v="2025-01-02T18:05:00"/>
    <n v="9.0500000000000007"/>
    <s v="S1"/>
    <n v="8"/>
    <n v="1.05"/>
    <b v="0"/>
    <m/>
    <b v="0"/>
    <b v="0"/>
    <s v="Aarav Sharma"/>
    <x v="0"/>
  </r>
  <r>
    <s v="E001"/>
    <d v="2025-01-03T00:00:00"/>
    <d v="2025-01-03T08:59:00"/>
    <d v="2025-01-03T18:01:00"/>
    <n v="9.0333333333333297"/>
    <s v="S1"/>
    <n v="8"/>
    <n v="1.0333333333333301"/>
    <b v="0"/>
    <m/>
    <b v="0"/>
    <b v="0"/>
    <s v="Aarav Sharma"/>
    <x v="0"/>
  </r>
  <r>
    <s v="E001"/>
    <d v="2025-01-06T00:00:00"/>
    <d v="2025-01-06T09:10:00"/>
    <d v="2025-01-06T18:07:00"/>
    <n v="8.9499999999999993"/>
    <s v="S1"/>
    <n v="8"/>
    <n v="0.94999999999999896"/>
    <b v="0"/>
    <m/>
    <b v="0"/>
    <b v="0"/>
    <s v="Aarav Sharma"/>
    <x v="0"/>
  </r>
  <r>
    <s v="E001"/>
    <d v="2025-01-07T00:00:00"/>
    <d v="2025-01-07T09:03:00"/>
    <d v="2025-01-07T18:02:00"/>
    <n v="8.9833333333333307"/>
    <s v="S1"/>
    <n v="8"/>
    <n v="0.98333333333333195"/>
    <b v="0"/>
    <m/>
    <b v="0"/>
    <b v="0"/>
    <s v="Aarav Sharma"/>
    <x v="0"/>
  </r>
  <r>
    <s v="E001"/>
    <d v="2025-01-08T00:00:00"/>
    <d v="2025-01-08T09:01:00"/>
    <d v="2025-01-08T18:06:00"/>
    <n v="9.0833333333333304"/>
    <s v="S1"/>
    <n v="8"/>
    <n v="1.0833333333333299"/>
    <b v="0"/>
    <m/>
    <b v="0"/>
    <b v="0"/>
    <s v="Aarav Sharma"/>
    <x v="0"/>
  </r>
  <r>
    <s v="E001"/>
    <d v="2025-02-03T00:00:00"/>
    <d v="2025-02-03T09:00:00"/>
    <d v="2025-02-03T18:00:00"/>
    <n v="9"/>
    <s v="S1"/>
    <n v="8"/>
    <n v="1"/>
    <b v="0"/>
    <m/>
    <b v="0"/>
    <b v="0"/>
    <s v="Aarav Sharma"/>
    <x v="0"/>
  </r>
  <r>
    <s v="E001"/>
    <d v="2025-02-04T00:00:00"/>
    <d v="2025-02-04T09:05:00"/>
    <d v="2025-02-04T18:03:00"/>
    <n v="8.9666666666666597"/>
    <s v="S1"/>
    <n v="8"/>
    <n v="0.96666666666666601"/>
    <b v="0"/>
    <m/>
    <b v="0"/>
    <b v="0"/>
    <s v="Aarav Sharma"/>
    <x v="0"/>
  </r>
  <r>
    <s v="E001"/>
    <d v="2025-02-05T00:00:00"/>
    <d v="2025-02-05T09:01:00"/>
    <d v="2025-02-05T18:04:00"/>
    <n v="9.0500000000000007"/>
    <s v="S1"/>
    <n v="8"/>
    <n v="1.05"/>
    <b v="0"/>
    <m/>
    <b v="0"/>
    <b v="0"/>
    <s v="Aarav Sharma"/>
    <x v="0"/>
  </r>
  <r>
    <s v="E002"/>
    <d v="2025-01-02T00:00:00"/>
    <d v="2025-01-02T09:10:00"/>
    <d v="2025-01-02T18:20:00"/>
    <n v="9.1666666666666607"/>
    <s v="S1"/>
    <n v="8"/>
    <n v="1.1666666666666601"/>
    <b v="0"/>
    <m/>
    <b v="0"/>
    <b v="0"/>
    <s v="Diya Verma"/>
    <x v="0"/>
  </r>
  <r>
    <s v="E002"/>
    <d v="2025-01-03T00:00:00"/>
    <d v="2025-01-03T09:05:00"/>
    <d v="2025-01-03T18:15:00"/>
    <n v="9.1666666666666607"/>
    <s v="S1"/>
    <n v="8"/>
    <n v="1.1666666666666601"/>
    <b v="0"/>
    <m/>
    <b v="0"/>
    <b v="0"/>
    <s v="Diya Verma"/>
    <x v="0"/>
  </r>
  <r>
    <s v="E002"/>
    <d v="2025-02-03T00:00:00"/>
    <d v="2025-02-03T09:12:00"/>
    <d v="2025-02-03T18:22:00"/>
    <n v="9.1666666666666607"/>
    <s v="S1"/>
    <n v="8"/>
    <n v="1.1666666666666601"/>
    <b v="0"/>
    <m/>
    <b v="0"/>
    <b v="0"/>
    <s v="Diya Verma"/>
    <x v="0"/>
  </r>
  <r>
    <s v="E003"/>
    <d v="2025-01-02T00:00:00"/>
    <d v="2025-01-02T10:01:00"/>
    <d v="2025-01-02T19:02:00"/>
    <n v="9.0166666666666604"/>
    <s v="S2"/>
    <n v="8"/>
    <n v="1.0166666666666599"/>
    <b v="0"/>
    <m/>
    <b v="0"/>
    <b v="0"/>
    <s v="Rahul Jain"/>
    <x v="1"/>
  </r>
  <r>
    <s v="E003"/>
    <d v="2025-02-04T00:00:00"/>
    <d v="2025-02-04T10:05:00"/>
    <d v="2025-02-04T19:00:00"/>
    <n v="8.9166666666666607"/>
    <s v="S2"/>
    <n v="8"/>
    <n v="0.91666666666666596"/>
    <b v="0"/>
    <m/>
    <b v="0"/>
    <b v="0"/>
    <s v="Rahul Jain"/>
    <x v="1"/>
  </r>
  <r>
    <s v="E004"/>
    <d v="2025-01-02T00:00:00"/>
    <d v="2025-01-02T09:20:00"/>
    <d v="2025-01-02T18:30:00"/>
    <n v="9.1666666666666607"/>
    <s v="S1"/>
    <n v="8"/>
    <n v="1.1666666666666601"/>
    <b v="0"/>
    <m/>
    <b v="0"/>
    <b v="0"/>
    <s v="Ananya Singh"/>
    <x v="2"/>
  </r>
  <r>
    <s v="E004"/>
    <d v="2025-02-05T00:00:00"/>
    <d v="2025-02-05T09:18:00"/>
    <d v="2025-02-05T18:25:00"/>
    <n v="9.11666666666666"/>
    <s v="S1"/>
    <n v="8"/>
    <n v="1.11666666666666"/>
    <b v="0"/>
    <m/>
    <b v="0"/>
    <b v="0"/>
    <s v="Ananya Singh"/>
    <x v="2"/>
  </r>
  <r>
    <s v="E005"/>
    <d v="2025-01-03T00:00:00"/>
    <d v="2025-01-03T09:00:00"/>
    <d v="2025-01-03T18:10:00"/>
    <n v="9.1666666666666607"/>
    <s v="S1"/>
    <n v="8"/>
    <n v="1.1666666666666601"/>
    <b v="0"/>
    <m/>
    <b v="0"/>
    <b v="0"/>
    <s v="Vikram Rao"/>
    <x v="2"/>
  </r>
  <r>
    <s v="E005"/>
    <d v="2025-02-03T00:00:00"/>
    <d v="2025-02-03T09:03:00"/>
    <d v="2025-02-03T18:12:00"/>
    <n v="9.15"/>
    <s v="S1"/>
    <n v="8"/>
    <n v="1.1499999999999999"/>
    <b v="0"/>
    <m/>
    <b v="0"/>
    <b v="0"/>
    <s v="Vikram Rao"/>
    <x v="2"/>
  </r>
  <r>
    <s v="E006"/>
    <d v="2025-01-02T00:00:00"/>
    <d v="2025-01-02T09:06:00"/>
    <d v="2025-01-02T18:06:00"/>
    <n v="9"/>
    <s v="S2"/>
    <n v="8"/>
    <n v="1"/>
    <b v="0"/>
    <m/>
    <b v="0"/>
    <b v="0"/>
    <s v="Neha Gupta"/>
    <x v="3"/>
  </r>
  <r>
    <s v="E006"/>
    <d v="2025-01-03T00:00:00"/>
    <d v="2025-01-03T09:06:00"/>
    <d v="2025-01-03T18:06:00"/>
    <n v="9"/>
    <s v="S2"/>
    <n v="8"/>
    <n v="1"/>
    <b v="0"/>
    <m/>
    <b v="0"/>
    <b v="0"/>
    <s v="Neha Gupta"/>
    <x v="3"/>
  </r>
  <r>
    <s v="E006"/>
    <d v="2025-02-03T00:00:00"/>
    <d v="2025-02-03T09:06:00"/>
    <d v="2025-02-03T18:06:00"/>
    <n v="9"/>
    <s v="S2"/>
    <n v="8"/>
    <n v="1"/>
    <b v="0"/>
    <m/>
    <b v="0"/>
    <b v="0"/>
    <s v="Neha Gupta"/>
    <x v="3"/>
  </r>
  <r>
    <s v="E007"/>
    <d v="2025-01-02T00:00:00"/>
    <d v="2025-01-02T09:07:00"/>
    <d v="2025-01-02T18:07:00"/>
    <n v="9"/>
    <s v="S2"/>
    <n v="8"/>
    <n v="1"/>
    <b v="0"/>
    <m/>
    <b v="0"/>
    <b v="0"/>
    <s v="Arjun Mehta"/>
    <x v="3"/>
  </r>
  <r>
    <s v="E007"/>
    <d v="2025-01-03T00:00:00"/>
    <d v="2025-01-03T09:07:00"/>
    <d v="2025-01-03T18:07:00"/>
    <n v="9"/>
    <s v="S2"/>
    <n v="8"/>
    <n v="1"/>
    <b v="0"/>
    <m/>
    <b v="0"/>
    <b v="0"/>
    <s v="Arjun Mehta"/>
    <x v="3"/>
  </r>
  <r>
    <s v="E007"/>
    <d v="2025-02-03T00:00:00"/>
    <d v="2025-02-03T09:07:00"/>
    <d v="2025-02-03T18:07:00"/>
    <n v="9"/>
    <s v="S2"/>
    <n v="8"/>
    <n v="1"/>
    <b v="0"/>
    <m/>
    <b v="0"/>
    <b v="0"/>
    <s v="Arjun Mehta"/>
    <x v="3"/>
  </r>
  <r>
    <s v="E008"/>
    <d v="2025-01-02T00:00:00"/>
    <d v="2025-01-02T09:08:00"/>
    <d v="2025-01-02T18:08:00"/>
    <n v="9"/>
    <s v="S3"/>
    <n v="8"/>
    <n v="1"/>
    <b v="0"/>
    <m/>
    <b v="0"/>
    <b v="0"/>
    <s v="Isha Nair"/>
    <x v="4"/>
  </r>
  <r>
    <s v="E008"/>
    <d v="2025-01-03T00:00:00"/>
    <d v="2025-01-03T09:08:00"/>
    <d v="2025-01-03T18:08:00"/>
    <n v="9"/>
    <s v="S3"/>
    <n v="8"/>
    <n v="1"/>
    <b v="0"/>
    <m/>
    <b v="0"/>
    <b v="0"/>
    <s v="Isha Nair"/>
    <x v="4"/>
  </r>
  <r>
    <s v="E008"/>
    <d v="2025-02-03T00:00:00"/>
    <d v="2025-02-03T09:08:00"/>
    <d v="2025-02-03T18:08:00"/>
    <n v="9"/>
    <s v="S3"/>
    <n v="8"/>
    <n v="1"/>
    <b v="0"/>
    <m/>
    <b v="0"/>
    <b v="0"/>
    <s v="Isha Nair"/>
    <x v="4"/>
  </r>
  <r>
    <s v="E009"/>
    <d v="2025-01-02T00:00:00"/>
    <d v="2025-01-02T09:09:00"/>
    <d v="2025-01-02T18:09:00"/>
    <n v="9"/>
    <s v="S3"/>
    <n v="8"/>
    <n v="1"/>
    <b v="0"/>
    <m/>
    <b v="0"/>
    <b v="0"/>
    <s v="Kunal Patel"/>
    <x v="4"/>
  </r>
  <r>
    <s v="E009"/>
    <d v="2025-01-03T00:00:00"/>
    <d v="2025-01-03T09:09:00"/>
    <d v="2025-01-03T18:09:00"/>
    <n v="9"/>
    <s v="S3"/>
    <n v="8"/>
    <n v="1"/>
    <b v="0"/>
    <m/>
    <b v="0"/>
    <b v="0"/>
    <s v="Kunal Patel"/>
    <x v="4"/>
  </r>
  <r>
    <s v="E009"/>
    <d v="2025-02-03T00:00:00"/>
    <d v="2025-02-03T09:09:00"/>
    <d v="2025-02-03T18:09:00"/>
    <n v="9"/>
    <s v="S3"/>
    <n v="8"/>
    <n v="1"/>
    <b v="0"/>
    <m/>
    <b v="0"/>
    <b v="0"/>
    <s v="Kunal Patel"/>
    <x v="4"/>
  </r>
  <r>
    <s v="E010"/>
    <d v="2025-01-02T00:00:00"/>
    <d v="2025-01-02T09:10:00"/>
    <d v="2025-01-02T18:10:00"/>
    <n v="9"/>
    <s v="S2"/>
    <n v="8"/>
    <n v="1"/>
    <b v="0"/>
    <m/>
    <b v="0"/>
    <b v="0"/>
    <s v="Pooja Desai"/>
    <x v="1"/>
  </r>
  <r>
    <s v="E010"/>
    <d v="2025-01-03T00:00:00"/>
    <d v="2025-01-03T09:10:00"/>
    <d v="2025-01-03T18:10:00"/>
    <n v="9"/>
    <s v="S2"/>
    <n v="8"/>
    <n v="1"/>
    <b v="0"/>
    <m/>
    <b v="0"/>
    <b v="0"/>
    <s v="Pooja Desai"/>
    <x v="1"/>
  </r>
  <r>
    <s v="E010"/>
    <d v="2025-02-03T00:00:00"/>
    <d v="2025-02-03T09:10:00"/>
    <d v="2025-02-03T18:10:00"/>
    <n v="9"/>
    <s v="S2"/>
    <n v="8"/>
    <n v="1"/>
    <b v="0"/>
    <m/>
    <b v="0"/>
    <b v="0"/>
    <s v="Pooja Desai"/>
    <x v="1"/>
  </r>
  <r>
    <s v="E011"/>
    <d v="2025-01-02T00:00:00"/>
    <d v="2025-01-02T09:11:00"/>
    <d v="2025-01-02T18:11:00"/>
    <n v="9"/>
    <s v="S1"/>
    <n v="8"/>
    <n v="1"/>
    <b v="0"/>
    <m/>
    <b v="0"/>
    <b v="0"/>
    <s v="Rohan Das"/>
    <x v="0"/>
  </r>
  <r>
    <s v="E011"/>
    <d v="2025-01-03T00:00:00"/>
    <d v="2025-01-03T09:11:00"/>
    <d v="2025-01-03T18:11:00"/>
    <n v="9"/>
    <s v="S1"/>
    <n v="8"/>
    <n v="1"/>
    <b v="0"/>
    <m/>
    <b v="0"/>
    <b v="0"/>
    <s v="Rohan Das"/>
    <x v="0"/>
  </r>
  <r>
    <s v="E011"/>
    <d v="2025-02-03T00:00:00"/>
    <d v="2025-02-03T09:11:00"/>
    <d v="2025-02-03T18:11:00"/>
    <n v="9"/>
    <s v="S1"/>
    <n v="8"/>
    <n v="1"/>
    <b v="0"/>
    <m/>
    <b v="0"/>
    <b v="0"/>
    <s v="Rohan Das"/>
    <x v="0"/>
  </r>
  <r>
    <s v="E012"/>
    <d v="2025-01-02T00:00:00"/>
    <d v="2025-01-02T09:12:00"/>
    <d v="2025-01-02T18:12:00"/>
    <n v="9"/>
    <s v="S1"/>
    <n v="8"/>
    <n v="1"/>
    <b v="0"/>
    <m/>
    <b v="0"/>
    <b v="0"/>
    <s v="Sneha Kulkarni"/>
    <x v="2"/>
  </r>
  <r>
    <s v="E012"/>
    <d v="2025-01-03T00:00:00"/>
    <d v="2025-01-03T09:12:00"/>
    <d v="2025-01-03T18:12:00"/>
    <n v="9"/>
    <s v="S1"/>
    <n v="8"/>
    <n v="1"/>
    <b v="0"/>
    <m/>
    <b v="0"/>
    <b v="0"/>
    <s v="Sneha Kulkarni"/>
    <x v="2"/>
  </r>
  <r>
    <s v="E012"/>
    <d v="2025-02-03T00:00:00"/>
    <d v="2025-02-03T09:12:00"/>
    <d v="2025-02-03T18:12:00"/>
    <n v="9"/>
    <s v="S1"/>
    <n v="8"/>
    <n v="1"/>
    <b v="0"/>
    <m/>
    <b v="0"/>
    <b v="0"/>
    <s v="Sneha Kulkarni"/>
    <x v="2"/>
  </r>
  <r>
    <s v="E013"/>
    <d v="2025-01-02T00:00:00"/>
    <d v="2025-01-02T09:13:00"/>
    <d v="2025-01-02T18:13:00"/>
    <n v="9"/>
    <s v="S1"/>
    <n v="8"/>
    <n v="1"/>
    <b v="0"/>
    <m/>
    <b v="0"/>
    <b v="0"/>
    <s v="Aditya Mishra"/>
    <x v="0"/>
  </r>
  <r>
    <s v="E013"/>
    <d v="2025-01-03T00:00:00"/>
    <d v="2025-01-03T09:13:00"/>
    <d v="2025-01-03T18:13:00"/>
    <n v="9"/>
    <s v="S1"/>
    <n v="8"/>
    <n v="1"/>
    <b v="0"/>
    <m/>
    <b v="0"/>
    <b v="0"/>
    <s v="Aditya Mishra"/>
    <x v="0"/>
  </r>
  <r>
    <s v="E013"/>
    <d v="2025-02-03T00:00:00"/>
    <d v="2025-02-03T09:13:00"/>
    <d v="2025-02-03T18:13:00"/>
    <n v="9"/>
    <s v="S1"/>
    <n v="8"/>
    <n v="1"/>
    <b v="0"/>
    <m/>
    <b v="0"/>
    <b v="0"/>
    <s v="Aditya Mishra"/>
    <x v="0"/>
  </r>
  <r>
    <s v="E014"/>
    <d v="2025-01-02T00:00:00"/>
    <d v="2025-01-02T09:14:00"/>
    <d v="2025-01-02T18:14:00"/>
    <n v="9"/>
    <s v="S2"/>
    <n v="8"/>
    <n v="1"/>
    <b v="0"/>
    <m/>
    <b v="0"/>
    <b v="0"/>
    <s v="Kritika Yadav"/>
    <x v="3"/>
  </r>
  <r>
    <s v="E014"/>
    <d v="2025-01-03T00:00:00"/>
    <d v="2025-01-03T09:14:00"/>
    <d v="2025-01-03T18:14:00"/>
    <n v="9"/>
    <s v="S2"/>
    <n v="8"/>
    <n v="1"/>
    <b v="0"/>
    <m/>
    <b v="0"/>
    <b v="0"/>
    <s v="Kritika Yadav"/>
    <x v="3"/>
  </r>
  <r>
    <s v="E014"/>
    <d v="2025-02-03T00:00:00"/>
    <d v="2025-02-03T09:14:00"/>
    <d v="2025-02-03T18:14:00"/>
    <n v="9"/>
    <s v="S2"/>
    <n v="8"/>
    <n v="1"/>
    <b v="0"/>
    <m/>
    <b v="0"/>
    <b v="0"/>
    <s v="Kritika Yadav"/>
    <x v="3"/>
  </r>
  <r>
    <s v="E015"/>
    <d v="2025-01-02T00:00:00"/>
    <d v="2025-01-02T09:15:00"/>
    <d v="2025-01-02T18:15:00"/>
    <n v="9"/>
    <s v="S1"/>
    <n v="8"/>
    <n v="1"/>
    <b v="0"/>
    <m/>
    <b v="0"/>
    <b v="0"/>
    <s v="Manish Kumar"/>
    <x v="2"/>
  </r>
  <r>
    <s v="E015"/>
    <d v="2025-01-03T00:00:00"/>
    <d v="2025-01-03T09:15:00"/>
    <d v="2025-01-03T18:15:00"/>
    <n v="9"/>
    <s v="S1"/>
    <n v="8"/>
    <n v="1"/>
    <b v="0"/>
    <s v="Casual"/>
    <b v="1"/>
    <b v="0"/>
    <s v="Manish Kumar"/>
    <x v="2"/>
  </r>
  <r>
    <s v="E015"/>
    <d v="2025-02-03T00:00:00"/>
    <d v="2025-02-03T09:15:00"/>
    <d v="2025-02-03T18:15:00"/>
    <n v="9"/>
    <s v="S1"/>
    <n v="8"/>
    <n v="1"/>
    <b v="0"/>
    <m/>
    <b v="0"/>
    <b v="0"/>
    <s v="Manish Kumar"/>
    <x v="2"/>
  </r>
  <r>
    <s v="E016"/>
    <d v="2025-01-02T00:00:00"/>
    <d v="2025-01-02T09:16:00"/>
    <d v="2025-01-02T18:16:00"/>
    <n v="9"/>
    <s v="S3"/>
    <n v="8"/>
    <n v="1"/>
    <b v="0"/>
    <m/>
    <b v="0"/>
    <b v="0"/>
    <s v="Shreya Iyer"/>
    <x v="4"/>
  </r>
  <r>
    <s v="E016"/>
    <d v="2025-01-03T00:00:00"/>
    <d v="2025-01-03T09:16:00"/>
    <d v="2025-01-03T18:16:00"/>
    <n v="9"/>
    <s v="S3"/>
    <n v="8"/>
    <n v="1"/>
    <b v="0"/>
    <m/>
    <b v="0"/>
    <b v="0"/>
    <s v="Shreya Iyer"/>
    <x v="4"/>
  </r>
  <r>
    <s v="E016"/>
    <d v="2025-02-03T00:00:00"/>
    <d v="2025-02-03T09:16:00"/>
    <d v="2025-02-03T18:16:00"/>
    <n v="9"/>
    <s v="S3"/>
    <n v="8"/>
    <n v="1"/>
    <b v="0"/>
    <m/>
    <b v="0"/>
    <b v="0"/>
    <s v="Shreya Iyer"/>
    <x v="4"/>
  </r>
  <r>
    <s v="E017"/>
    <d v="2025-01-02T00:00:00"/>
    <d v="2025-01-02T09:17:00"/>
    <d v="2025-01-02T18:17:00"/>
    <n v="9"/>
    <s v="S2"/>
    <n v="8"/>
    <n v="1"/>
    <b v="0"/>
    <m/>
    <b v="0"/>
    <b v="0"/>
    <s v="Siddharth Roy"/>
    <x v="1"/>
  </r>
  <r>
    <s v="E017"/>
    <d v="2025-01-03T00:00:00"/>
    <d v="2025-01-03T09:17:00"/>
    <d v="2025-01-03T18:17:00"/>
    <n v="9"/>
    <s v="S2"/>
    <n v="8"/>
    <n v="1"/>
    <b v="0"/>
    <m/>
    <b v="0"/>
    <b v="0"/>
    <s v="Siddharth Roy"/>
    <x v="1"/>
  </r>
  <r>
    <s v="E017"/>
    <d v="2025-02-03T00:00:00"/>
    <d v="2025-02-03T09:17:00"/>
    <d v="2025-02-03T18:17:00"/>
    <n v="9"/>
    <s v="S2"/>
    <n v="8"/>
    <n v="1"/>
    <b v="0"/>
    <m/>
    <b v="0"/>
    <b v="0"/>
    <s v="Siddharth Roy"/>
    <x v="1"/>
  </r>
  <r>
    <s v="E018"/>
    <d v="2025-01-02T00:00:00"/>
    <d v="2025-01-02T09:18:00"/>
    <d v="2025-01-02T18:18:00"/>
    <n v="9"/>
    <s v="S1"/>
    <n v="8"/>
    <n v="1"/>
    <b v="0"/>
    <m/>
    <b v="0"/>
    <b v="0"/>
    <s v="Tanvi Bose"/>
    <x v="0"/>
  </r>
  <r>
    <s v="E018"/>
    <d v="2025-01-03T00:00:00"/>
    <d v="2025-01-03T09:18:00"/>
    <d v="2025-01-03T18:18:00"/>
    <n v="9"/>
    <s v="S1"/>
    <n v="8"/>
    <n v="1"/>
    <b v="0"/>
    <m/>
    <b v="0"/>
    <b v="0"/>
    <s v="Tanvi Bose"/>
    <x v="0"/>
  </r>
  <r>
    <s v="E018"/>
    <d v="2025-02-03T00:00:00"/>
    <d v="2025-02-03T09:18:00"/>
    <d v="2025-02-03T18:18:00"/>
    <n v="9"/>
    <s v="S1"/>
    <n v="8"/>
    <n v="1"/>
    <b v="0"/>
    <m/>
    <b v="0"/>
    <b v="0"/>
    <s v="Tanvi Bose"/>
    <x v="0"/>
  </r>
  <r>
    <s v="E019"/>
    <d v="2025-01-02T00:00:00"/>
    <d v="2025-01-02T09:19:00"/>
    <d v="2025-01-02T18:19:00"/>
    <n v="9"/>
    <s v="S1"/>
    <n v="8"/>
    <n v="1"/>
    <b v="0"/>
    <m/>
    <b v="0"/>
    <b v="0"/>
    <s v="Harsh Vardhan"/>
    <x v="2"/>
  </r>
  <r>
    <s v="E019"/>
    <d v="2025-01-03T00:00:00"/>
    <d v="2025-01-03T09:19:00"/>
    <d v="2025-01-03T18:19:00"/>
    <n v="9"/>
    <s v="S1"/>
    <n v="8"/>
    <n v="1"/>
    <b v="0"/>
    <m/>
    <b v="0"/>
    <b v="0"/>
    <s v="Harsh Vardhan"/>
    <x v="2"/>
  </r>
  <r>
    <s v="E019"/>
    <d v="2025-02-03T00:00:00"/>
    <d v="2025-02-03T09:19:00"/>
    <d v="2025-02-03T18:19:00"/>
    <n v="9"/>
    <s v="S1"/>
    <n v="8"/>
    <n v="1"/>
    <b v="0"/>
    <m/>
    <b v="0"/>
    <b v="0"/>
    <s v="Harsh Vardhan"/>
    <x v="2"/>
  </r>
  <r>
    <s v="E020"/>
    <d v="2025-01-02T00:00:00"/>
    <d v="2025-01-02T09:20:00"/>
    <d v="2025-01-02T18:20:00"/>
    <n v="9"/>
    <s v="S2"/>
    <n v="8"/>
    <n v="1"/>
    <b v="0"/>
    <m/>
    <b v="0"/>
    <b v="0"/>
    <s v="Mahi Chawla"/>
    <x v="3"/>
  </r>
  <r>
    <s v="E020"/>
    <d v="2025-01-03T00:00:00"/>
    <d v="2025-01-03T09:20:00"/>
    <d v="2025-01-03T18:20:00"/>
    <n v="9"/>
    <s v="S2"/>
    <n v="8"/>
    <n v="1"/>
    <b v="0"/>
    <m/>
    <b v="0"/>
    <b v="0"/>
    <s v="Mahi Chawla"/>
    <x v="3"/>
  </r>
  <r>
    <s v="E020"/>
    <d v="2025-02-03T00:00:00"/>
    <d v="2025-02-03T09:20:00"/>
    <d v="2025-02-03T18:20:00"/>
    <n v="9"/>
    <s v="S2"/>
    <n v="8"/>
    <n v="1"/>
    <b v="0"/>
    <m/>
    <b v="0"/>
    <b v="0"/>
    <s v="Mahi Chawla"/>
    <x v="3"/>
  </r>
  <r>
    <s v="E021"/>
    <d v="2025-01-02T00:00:00"/>
    <d v="2025-01-02T09:21:00"/>
    <d v="2025-01-02T18:21:00"/>
    <n v="9"/>
    <s v="S3"/>
    <n v="8"/>
    <n v="1"/>
    <b v="0"/>
    <m/>
    <b v="0"/>
    <b v="0"/>
    <s v="Pranav Menon"/>
    <x v="4"/>
  </r>
  <r>
    <s v="E021"/>
    <d v="2025-01-03T00:00:00"/>
    <d v="2025-01-03T09:21:00"/>
    <d v="2025-01-03T18:21:00"/>
    <n v="9"/>
    <s v="S3"/>
    <n v="8"/>
    <n v="1"/>
    <b v="0"/>
    <m/>
    <b v="0"/>
    <b v="0"/>
    <s v="Pranav Menon"/>
    <x v="4"/>
  </r>
  <r>
    <s v="E021"/>
    <d v="2025-02-03T00:00:00"/>
    <d v="2025-02-03T09:21:00"/>
    <d v="2025-02-03T18:21:00"/>
    <n v="9"/>
    <s v="S3"/>
    <n v="8"/>
    <n v="1"/>
    <b v="0"/>
    <m/>
    <b v="0"/>
    <b v="0"/>
    <s v="Pranav Menon"/>
    <x v="4"/>
  </r>
  <r>
    <s v="E022"/>
    <d v="2025-01-02T00:00:00"/>
    <d v="2025-01-02T09:22:00"/>
    <d v="2025-01-02T18:22:00"/>
    <n v="9"/>
    <s v="S1"/>
    <n v="8"/>
    <n v="1"/>
    <b v="0"/>
    <m/>
    <b v="0"/>
    <b v="0"/>
    <s v="Meera Joshi"/>
    <x v="0"/>
  </r>
  <r>
    <s v="E022"/>
    <d v="2025-01-03T00:00:00"/>
    <d v="2025-01-03T09:22:00"/>
    <d v="2025-01-03T18:22:00"/>
    <n v="9"/>
    <s v="S1"/>
    <n v="8"/>
    <n v="1"/>
    <b v="0"/>
    <m/>
    <b v="0"/>
    <b v="0"/>
    <s v="Meera Joshi"/>
    <x v="0"/>
  </r>
  <r>
    <s v="E022"/>
    <d v="2025-02-03T00:00:00"/>
    <d v="2025-02-03T09:22:00"/>
    <d v="2025-02-03T18:22:00"/>
    <n v="9"/>
    <s v="S1"/>
    <n v="8"/>
    <n v="1"/>
    <b v="0"/>
    <m/>
    <b v="0"/>
    <b v="0"/>
    <s v="Meera Joshi"/>
    <x v="0"/>
  </r>
  <r>
    <s v="E023"/>
    <d v="2025-01-02T00:00:00"/>
    <d v="2025-01-02T09:23:00"/>
    <d v="2025-01-02T18:23:00"/>
    <n v="9"/>
    <s v="S2"/>
    <n v="8"/>
    <n v="1"/>
    <b v="0"/>
    <m/>
    <b v="0"/>
    <b v="0"/>
    <s v="Yash Garg"/>
    <x v="1"/>
  </r>
  <r>
    <s v="E023"/>
    <d v="2025-01-03T00:00:00"/>
    <d v="2025-01-03T09:23:00"/>
    <d v="2025-01-03T18:23:00"/>
    <n v="9"/>
    <s v="S2"/>
    <n v="8"/>
    <n v="1"/>
    <b v="0"/>
    <m/>
    <b v="0"/>
    <b v="0"/>
    <s v="Yash Garg"/>
    <x v="1"/>
  </r>
  <r>
    <s v="E023"/>
    <d v="2025-02-03T00:00:00"/>
    <d v="2025-02-03T09:23:00"/>
    <d v="2025-02-03T18:23:00"/>
    <n v="9"/>
    <s v="S2"/>
    <n v="8"/>
    <n v="1"/>
    <b v="0"/>
    <m/>
    <b v="0"/>
    <b v="0"/>
    <s v="Yash Garg"/>
    <x v="1"/>
  </r>
  <r>
    <s v="E024"/>
    <d v="2025-01-02T00:00:00"/>
    <d v="2025-01-02T09:24:00"/>
    <d v="2025-01-02T18:24:00"/>
    <n v="9"/>
    <s v="S1"/>
    <n v="8"/>
    <n v="1"/>
    <b v="0"/>
    <m/>
    <b v="0"/>
    <b v="0"/>
    <s v="Nikita Reddy"/>
    <x v="2"/>
  </r>
  <r>
    <s v="E024"/>
    <d v="2025-01-03T00:00:00"/>
    <d v="2025-01-03T09:24:00"/>
    <d v="2025-01-03T18:24:00"/>
    <n v="9"/>
    <s v="S1"/>
    <n v="8"/>
    <n v="1"/>
    <b v="0"/>
    <m/>
    <b v="0"/>
    <b v="0"/>
    <s v="Nikita Reddy"/>
    <x v="2"/>
  </r>
  <r>
    <s v="E024"/>
    <d v="2025-02-03T00:00:00"/>
    <d v="2025-02-03T09:24:00"/>
    <d v="2025-02-03T18:24:00"/>
    <n v="9"/>
    <s v="S1"/>
    <n v="8"/>
    <n v="1"/>
    <b v="0"/>
    <m/>
    <b v="0"/>
    <b v="0"/>
    <s v="Nikita Reddy"/>
    <x v="2"/>
  </r>
  <r>
    <s v="E025"/>
    <d v="2025-01-02T00:00:00"/>
    <d v="2025-01-02T09:25:00"/>
    <d v="2025-01-02T18:25:00"/>
    <n v="9"/>
    <s v="S2"/>
    <n v="8"/>
    <n v="1"/>
    <b v="0"/>
    <m/>
    <b v="0"/>
    <b v="0"/>
    <s v="Amit Sinha"/>
    <x v="3"/>
  </r>
  <r>
    <s v="E025"/>
    <d v="2025-01-03T00:00:00"/>
    <d v="2025-01-03T09:25:00"/>
    <d v="2025-01-03T18:25:00"/>
    <n v="9"/>
    <s v="S2"/>
    <n v="8"/>
    <n v="1"/>
    <b v="0"/>
    <m/>
    <b v="0"/>
    <b v="0"/>
    <s v="Amit Sinha"/>
    <x v="3"/>
  </r>
  <r>
    <s v="E025"/>
    <d v="2025-02-03T00:00:00"/>
    <d v="2025-02-03T09:25:00"/>
    <d v="2025-02-03T18:25:00"/>
    <n v="9"/>
    <s v="S2"/>
    <n v="8"/>
    <n v="1"/>
    <b v="0"/>
    <m/>
    <b v="0"/>
    <b v="0"/>
    <s v="Amit Sinha"/>
    <x v="3"/>
  </r>
  <r>
    <s v="E026"/>
    <d v="2025-01-02T00:00:00"/>
    <d v="2025-01-02T09:26:00"/>
    <d v="2025-01-02T18:26:00"/>
    <n v="9"/>
    <s v="S3"/>
    <n v="8"/>
    <n v="1"/>
    <b v="0"/>
    <m/>
    <b v="0"/>
    <b v="0"/>
    <s v="Ritika Kapoor"/>
    <x v="4"/>
  </r>
  <r>
    <s v="E026"/>
    <d v="2025-01-03T00:00:00"/>
    <d v="2025-01-03T09:26:00"/>
    <d v="2025-01-03T18:26:00"/>
    <n v="9"/>
    <s v="S3"/>
    <n v="8"/>
    <n v="1"/>
    <b v="0"/>
    <m/>
    <b v="0"/>
    <b v="0"/>
    <s v="Ritika Kapoor"/>
    <x v="4"/>
  </r>
  <r>
    <s v="E026"/>
    <d v="2025-02-03T00:00:00"/>
    <d v="2025-02-03T09:26:00"/>
    <d v="2025-02-03T18:26:00"/>
    <n v="9"/>
    <s v="S3"/>
    <n v="8"/>
    <n v="1"/>
    <b v="0"/>
    <m/>
    <b v="0"/>
    <b v="0"/>
    <s v="Ritika Kapoor"/>
    <x v="4"/>
  </r>
  <r>
    <s v="E027"/>
    <d v="2025-01-02T00:00:00"/>
    <d v="2025-01-02T09:27:00"/>
    <d v="2025-01-02T18:27:00"/>
    <n v="9"/>
    <s v="S1"/>
    <n v="8"/>
    <n v="1"/>
    <b v="0"/>
    <m/>
    <b v="0"/>
    <b v="0"/>
    <s v="Varun Saxena"/>
    <x v="0"/>
  </r>
  <r>
    <s v="E027"/>
    <d v="2025-01-03T00:00:00"/>
    <d v="2025-01-03T09:27:00"/>
    <d v="2025-01-03T18:27:00"/>
    <n v="9"/>
    <s v="S1"/>
    <n v="8"/>
    <n v="1"/>
    <b v="0"/>
    <m/>
    <b v="0"/>
    <b v="0"/>
    <s v="Varun Saxena"/>
    <x v="0"/>
  </r>
  <r>
    <s v="E027"/>
    <d v="2025-02-03T00:00:00"/>
    <d v="2025-02-03T09:27:00"/>
    <d v="2025-02-03T18:27:00"/>
    <n v="9"/>
    <s v="S1"/>
    <n v="8"/>
    <n v="1"/>
    <b v="0"/>
    <m/>
    <b v="0"/>
    <b v="0"/>
    <s v="Varun Saxena"/>
    <x v="0"/>
  </r>
  <r>
    <s v="E028"/>
    <d v="2025-01-02T00:00:00"/>
    <d v="2025-01-02T09:28:00"/>
    <d v="2025-01-02T18:28:00"/>
    <n v="9"/>
    <s v="S2"/>
    <n v="8"/>
    <n v="1"/>
    <b v="0"/>
    <m/>
    <b v="0"/>
    <b v="0"/>
    <s v="Sara Khan"/>
    <x v="1"/>
  </r>
  <r>
    <s v="E028"/>
    <d v="2025-01-03T00:00:00"/>
    <d v="2025-01-03T09:28:00"/>
    <d v="2025-01-03T18:28:00"/>
    <n v="9"/>
    <s v="S2"/>
    <n v="8"/>
    <n v="1"/>
    <b v="0"/>
    <m/>
    <b v="0"/>
    <b v="0"/>
    <s v="Sara Khan"/>
    <x v="1"/>
  </r>
  <r>
    <s v="E028"/>
    <d v="2025-02-03T00:00:00"/>
    <d v="2025-02-03T09:28:00"/>
    <d v="2025-02-03T18:28:00"/>
    <n v="9"/>
    <s v="S2"/>
    <n v="8"/>
    <n v="1"/>
    <b v="0"/>
    <m/>
    <b v="0"/>
    <b v="0"/>
    <s v="Sara Khan"/>
    <x v="1"/>
  </r>
  <r>
    <s v="E029"/>
    <d v="2025-01-02T00:00:00"/>
    <d v="2025-01-02T09:29:00"/>
    <d v="2025-01-02T18:29:00"/>
    <n v="9"/>
    <s v="S1"/>
    <n v="8"/>
    <n v="1"/>
    <b v="0"/>
    <m/>
    <b v="0"/>
    <b v="0"/>
    <s v="Deepak Talwar"/>
    <x v="2"/>
  </r>
  <r>
    <s v="E029"/>
    <d v="2025-01-03T00:00:00"/>
    <d v="2025-01-03T09:29:00"/>
    <d v="2025-01-03T18:29:00"/>
    <n v="9"/>
    <s v="S1"/>
    <n v="8"/>
    <n v="1"/>
    <b v="0"/>
    <m/>
    <b v="0"/>
    <b v="0"/>
    <s v="Deepak Talwar"/>
    <x v="2"/>
  </r>
  <r>
    <s v="E029"/>
    <d v="2025-02-03T00:00:00"/>
    <d v="2025-02-03T09:29:00"/>
    <d v="2025-02-03T18:29:00"/>
    <n v="9"/>
    <s v="S1"/>
    <n v="8"/>
    <n v="1"/>
    <b v="0"/>
    <m/>
    <b v="0"/>
    <b v="0"/>
    <s v="Deepak Talwar"/>
    <x v="2"/>
  </r>
  <r>
    <s v="E030"/>
    <d v="2025-01-02T00:00:00"/>
    <d v="2025-01-02T09:30:00"/>
    <d v="2025-01-02T18:30:00"/>
    <n v="9"/>
    <s v="S2"/>
    <n v="8"/>
    <n v="1"/>
    <b v="0"/>
    <m/>
    <b v="0"/>
    <b v="0"/>
    <s v="Karishma Paul"/>
    <x v="3"/>
  </r>
  <r>
    <s v="E030"/>
    <d v="2025-01-03T00:00:00"/>
    <d v="2025-01-03T09:30:00"/>
    <d v="2025-01-03T18:30:00"/>
    <n v="9"/>
    <s v="S2"/>
    <n v="8"/>
    <n v="1"/>
    <b v="0"/>
    <m/>
    <b v="0"/>
    <b v="0"/>
    <s v="Karishma Paul"/>
    <x v="3"/>
  </r>
  <r>
    <s v="E030"/>
    <d v="2025-02-03T00:00:00"/>
    <d v="2025-02-03T09:30:00"/>
    <d v="2025-02-03T18:30:00"/>
    <n v="9"/>
    <s v="S2"/>
    <n v="8"/>
    <n v="1"/>
    <b v="0"/>
    <m/>
    <b v="0"/>
    <b v="0"/>
    <s v="Karishma Paul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F427FF-13C7-41EB-BE03-DB92C42CBBED}" name="PivotTable2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4" firstHeaderRow="1" firstDataRow="1" firstDataCol="1"/>
  <pivotFields count="3">
    <pivotField axis="axisRow" allDrilled="1" subtotalTop="0" showAll="0" dataSourceSort="1" defaultSubtotal="0" defaultAttributeDrillState="1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</pivotField>
  </pivotFields>
  <rowFields count="2">
    <field x="0"/>
    <field x="2"/>
  </rowFields>
  <rowItems count="61">
    <i>
      <x/>
    </i>
    <i r="1">
      <x/>
    </i>
    <i>
      <x v="1"/>
    </i>
    <i r="1">
      <x v="1"/>
    </i>
    <i>
      <x v="2"/>
    </i>
    <i r="1">
      <x v="2"/>
    </i>
    <i>
      <x v="3"/>
    </i>
    <i r="1">
      <x v="3"/>
    </i>
    <i>
      <x v="4"/>
    </i>
    <i r="1">
      <x v="4"/>
    </i>
    <i>
      <x v="5"/>
    </i>
    <i r="1">
      <x v="5"/>
    </i>
    <i>
      <x v="6"/>
    </i>
    <i r="1">
      <x v="6"/>
    </i>
    <i>
      <x v="7"/>
    </i>
    <i r="1">
      <x v="7"/>
    </i>
    <i>
      <x v="8"/>
    </i>
    <i r="1">
      <x v="8"/>
    </i>
    <i>
      <x v="9"/>
    </i>
    <i r="1">
      <x v="9"/>
    </i>
    <i>
      <x v="10"/>
    </i>
    <i r="1">
      <x v="10"/>
    </i>
    <i>
      <x v="11"/>
    </i>
    <i r="1">
      <x v="11"/>
    </i>
    <i>
      <x v="12"/>
    </i>
    <i r="1">
      <x v="12"/>
    </i>
    <i>
      <x v="13"/>
    </i>
    <i r="1">
      <x v="13"/>
    </i>
    <i>
      <x v="14"/>
    </i>
    <i r="1">
      <x v="14"/>
    </i>
    <i>
      <x v="15"/>
    </i>
    <i r="1">
      <x v="15"/>
    </i>
    <i>
      <x v="16"/>
    </i>
    <i r="1">
      <x v="16"/>
    </i>
    <i>
      <x v="17"/>
    </i>
    <i r="1">
      <x v="17"/>
    </i>
    <i>
      <x v="18"/>
    </i>
    <i r="1">
      <x v="18"/>
    </i>
    <i>
      <x v="19"/>
    </i>
    <i r="1">
      <x v="19"/>
    </i>
    <i>
      <x v="20"/>
    </i>
    <i r="1">
      <x v="20"/>
    </i>
    <i>
      <x v="21"/>
    </i>
    <i r="1">
      <x v="21"/>
    </i>
    <i>
      <x v="22"/>
    </i>
    <i r="1">
      <x v="22"/>
    </i>
    <i>
      <x v="23"/>
    </i>
    <i r="1">
      <x v="23"/>
    </i>
    <i>
      <x v="24"/>
    </i>
    <i r="1">
      <x v="24"/>
    </i>
    <i>
      <x v="25"/>
    </i>
    <i r="1">
      <x v="25"/>
    </i>
    <i>
      <x v="26"/>
    </i>
    <i r="1">
      <x v="26"/>
    </i>
    <i>
      <x v="27"/>
    </i>
    <i r="1">
      <x v="27"/>
    </i>
    <i>
      <x v="28"/>
    </i>
    <i r="1">
      <x v="28"/>
    </i>
    <i>
      <x v="29"/>
    </i>
    <i r="1">
      <x v="29"/>
    </i>
    <i t="grand">
      <x/>
    </i>
  </rowItems>
  <colItems count="1">
    <i/>
  </colItems>
  <dataFields count="1">
    <dataField name="Sum of worked_hours" fld="1" baseField="0" baseItem="0"/>
  </dataFields>
  <pivotHierarchies count="2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0"/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hr_daily_fact!$A$1:$N$93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63A38F-17C0-4EE4-8252-69DC9F7B501A}" name="PivotTable3" cacheId="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14">
    <pivotField showAll="0"/>
    <pivotField numFmtId="14" showAll="0"/>
    <pivotField numFmtId="22" showAll="0"/>
    <pivotField numFmtId="22"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6">
        <item x="0"/>
        <item x="2"/>
        <item x="3"/>
        <item x="1"/>
        <item x="4"/>
        <item t="default"/>
      </items>
    </pivotField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overtime_hour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1CE741-66A8-46D2-AD89-DF34B9D55D45}" name="PivotTable4" cacheId="7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employee_id" fld="1" subtotal="count" baseField="0" baseItem="0"/>
  </dataFields>
  <pivotHierarchies count="2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hr_daily_fact!$A$1:$N$93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6217B-3907-4AC9-9786-4A2381E27752}">
  <dimension ref="A1:N93"/>
  <sheetViews>
    <sheetView workbookViewId="0">
      <selection activeCell="D11" sqref="D11"/>
    </sheetView>
  </sheetViews>
  <sheetFormatPr defaultRowHeight="14.4" x14ac:dyDescent="0.3"/>
  <cols>
    <col min="1" max="1" width="11.44140625" bestFit="1" customWidth="1"/>
    <col min="2" max="2" width="10.33203125" bestFit="1" customWidth="1"/>
    <col min="3" max="4" width="15.44140625" bestFit="1" customWidth="1"/>
    <col min="5" max="5" width="12.6640625" bestFit="1" customWidth="1"/>
    <col min="6" max="6" width="7" bestFit="1" customWidth="1"/>
    <col min="7" max="7" width="21.5546875" bestFit="1" customWidth="1"/>
    <col min="8" max="8" width="14" bestFit="1" customWidth="1"/>
    <col min="9" max="9" width="10.44140625" bestFit="1" customWidth="1"/>
    <col min="10" max="10" width="9.88671875" bestFit="1" customWidth="1"/>
    <col min="11" max="11" width="12" bestFit="1" customWidth="1"/>
    <col min="12" max="12" width="10.77734375" bestFit="1" customWidth="1"/>
    <col min="13" max="13" width="11.88671875" customWidth="1"/>
    <col min="14" max="14" width="17.1093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46</v>
      </c>
      <c r="N1" t="s">
        <v>52</v>
      </c>
    </row>
    <row r="2" spans="1:14" x14ac:dyDescent="0.3">
      <c r="A2" t="s">
        <v>12</v>
      </c>
      <c r="B2" s="1">
        <v>45659</v>
      </c>
      <c r="C2" s="2">
        <v>45659.376388888886</v>
      </c>
      <c r="D2" s="2">
        <v>45659.753472222219</v>
      </c>
      <c r="E2">
        <v>9.0500000000000007</v>
      </c>
      <c r="F2" t="s">
        <v>13</v>
      </c>
      <c r="G2">
        <v>8</v>
      </c>
      <c r="H2">
        <v>1.05</v>
      </c>
      <c r="I2" t="b">
        <v>0</v>
      </c>
      <c r="K2" t="b">
        <v>0</v>
      </c>
      <c r="L2" t="b">
        <v>0</v>
      </c>
      <c r="M2" t="str">
        <f>_xlfn.XLOOKUP(A2, hr_employee_dim!A:A, hr_employee_dim!B:B)</f>
        <v>Aarav Sharma</v>
      </c>
      <c r="N2" t="str">
        <f>_xlfn.XLOOKUP(A2, hr_employee_dim!A:A, hr_employee_dim!I:I)</f>
        <v>Analytics</v>
      </c>
    </row>
    <row r="3" spans="1:14" x14ac:dyDescent="0.3">
      <c r="A3" t="s">
        <v>12</v>
      </c>
      <c r="B3" s="1">
        <v>45660</v>
      </c>
      <c r="C3" s="2">
        <v>45660.374305555553</v>
      </c>
      <c r="D3" s="2">
        <v>45660.750694444447</v>
      </c>
      <c r="E3">
        <v>9.0333333333333297</v>
      </c>
      <c r="F3" t="s">
        <v>13</v>
      </c>
      <c r="G3">
        <v>8</v>
      </c>
      <c r="H3">
        <v>1.0333333333333301</v>
      </c>
      <c r="I3" t="b">
        <v>0</v>
      </c>
      <c r="K3" t="b">
        <v>0</v>
      </c>
      <c r="L3" t="b">
        <v>0</v>
      </c>
      <c r="M3" t="str">
        <f>_xlfn.XLOOKUP(A3, hr_employee_dim!A:A, hr_employee_dim!B:B)</f>
        <v>Aarav Sharma</v>
      </c>
      <c r="N3" t="str">
        <f>_xlfn.XLOOKUP(A3, hr_employee_dim!A:A, hr_employee_dim!I:I)</f>
        <v>Analytics</v>
      </c>
    </row>
    <row r="4" spans="1:14" x14ac:dyDescent="0.3">
      <c r="A4" t="s">
        <v>12</v>
      </c>
      <c r="B4" s="1">
        <v>45663</v>
      </c>
      <c r="C4" s="2">
        <v>45663.381944444445</v>
      </c>
      <c r="D4" s="2">
        <v>45663.754861111112</v>
      </c>
      <c r="E4">
        <v>8.9499999999999993</v>
      </c>
      <c r="F4" t="s">
        <v>13</v>
      </c>
      <c r="G4">
        <v>8</v>
      </c>
      <c r="H4">
        <v>0.94999999999999896</v>
      </c>
      <c r="I4" t="b">
        <v>0</v>
      </c>
      <c r="K4" t="b">
        <v>0</v>
      </c>
      <c r="L4" t="b">
        <v>0</v>
      </c>
      <c r="M4" t="str">
        <f>_xlfn.XLOOKUP(A4, hr_employee_dim!A:A, hr_employee_dim!B:B)</f>
        <v>Aarav Sharma</v>
      </c>
      <c r="N4" t="str">
        <f>_xlfn.XLOOKUP(A4, hr_employee_dim!A:A, hr_employee_dim!I:I)</f>
        <v>Analytics</v>
      </c>
    </row>
    <row r="5" spans="1:14" x14ac:dyDescent="0.3">
      <c r="A5" t="s">
        <v>12</v>
      </c>
      <c r="B5" s="1">
        <v>45664</v>
      </c>
      <c r="C5" s="2">
        <v>45664.377083333333</v>
      </c>
      <c r="D5" s="2">
        <v>45664.751388888886</v>
      </c>
      <c r="E5">
        <v>8.9833333333333307</v>
      </c>
      <c r="F5" t="s">
        <v>13</v>
      </c>
      <c r="G5">
        <v>8</v>
      </c>
      <c r="H5">
        <v>0.98333333333333195</v>
      </c>
      <c r="I5" t="b">
        <v>0</v>
      </c>
      <c r="K5" t="b">
        <v>0</v>
      </c>
      <c r="L5" t="b">
        <v>0</v>
      </c>
      <c r="M5" t="str">
        <f>_xlfn.XLOOKUP(A5, hr_employee_dim!A:A, hr_employee_dim!B:B)</f>
        <v>Aarav Sharma</v>
      </c>
      <c r="N5" t="str">
        <f>_xlfn.XLOOKUP(A5, hr_employee_dim!A:A, hr_employee_dim!I:I)</f>
        <v>Analytics</v>
      </c>
    </row>
    <row r="6" spans="1:14" x14ac:dyDescent="0.3">
      <c r="A6" t="s">
        <v>12</v>
      </c>
      <c r="B6" s="1">
        <v>45665</v>
      </c>
      <c r="C6" s="2">
        <v>45665.375694444447</v>
      </c>
      <c r="D6" s="2">
        <v>45665.754166666666</v>
      </c>
      <c r="E6">
        <v>9.0833333333333304</v>
      </c>
      <c r="F6" t="s">
        <v>13</v>
      </c>
      <c r="G6">
        <v>8</v>
      </c>
      <c r="H6">
        <v>1.0833333333333299</v>
      </c>
      <c r="I6" t="b">
        <v>0</v>
      </c>
      <c r="K6" t="b">
        <v>0</v>
      </c>
      <c r="L6" t="b">
        <v>0</v>
      </c>
      <c r="M6" t="str">
        <f>_xlfn.XLOOKUP(A6, hr_employee_dim!A:A, hr_employee_dim!B:B)</f>
        <v>Aarav Sharma</v>
      </c>
      <c r="N6" t="str">
        <f>_xlfn.XLOOKUP(A6, hr_employee_dim!A:A, hr_employee_dim!I:I)</f>
        <v>Analytics</v>
      </c>
    </row>
    <row r="7" spans="1:14" x14ac:dyDescent="0.3">
      <c r="A7" t="s">
        <v>12</v>
      </c>
      <c r="B7" s="1">
        <v>45691</v>
      </c>
      <c r="C7" s="2">
        <v>45691.375</v>
      </c>
      <c r="D7" s="2">
        <v>45691.75</v>
      </c>
      <c r="E7">
        <v>9</v>
      </c>
      <c r="F7" t="s">
        <v>13</v>
      </c>
      <c r="G7">
        <v>8</v>
      </c>
      <c r="H7">
        <v>1</v>
      </c>
      <c r="I7" t="b">
        <v>0</v>
      </c>
      <c r="K7" t="b">
        <v>0</v>
      </c>
      <c r="L7" t="b">
        <v>0</v>
      </c>
      <c r="M7" t="str">
        <f>_xlfn.XLOOKUP(A7, hr_employee_dim!A:A, hr_employee_dim!B:B)</f>
        <v>Aarav Sharma</v>
      </c>
      <c r="N7" t="str">
        <f>_xlfn.XLOOKUP(A7, hr_employee_dim!A:A, hr_employee_dim!I:I)</f>
        <v>Analytics</v>
      </c>
    </row>
    <row r="8" spans="1:14" x14ac:dyDescent="0.3">
      <c r="A8" t="s">
        <v>12</v>
      </c>
      <c r="B8" s="1">
        <v>45692</v>
      </c>
      <c r="C8" s="2">
        <v>45692.378472222219</v>
      </c>
      <c r="D8" s="2">
        <v>45692.752083333333</v>
      </c>
      <c r="E8">
        <v>8.9666666666666597</v>
      </c>
      <c r="F8" t="s">
        <v>13</v>
      </c>
      <c r="G8">
        <v>8</v>
      </c>
      <c r="H8">
        <v>0.96666666666666601</v>
      </c>
      <c r="I8" t="b">
        <v>0</v>
      </c>
      <c r="K8" t="b">
        <v>0</v>
      </c>
      <c r="L8" t="b">
        <v>0</v>
      </c>
      <c r="M8" t="str">
        <f>_xlfn.XLOOKUP(A8, hr_employee_dim!A:A, hr_employee_dim!B:B)</f>
        <v>Aarav Sharma</v>
      </c>
      <c r="N8" t="str">
        <f>_xlfn.XLOOKUP(A8, hr_employee_dim!A:A, hr_employee_dim!I:I)</f>
        <v>Analytics</v>
      </c>
    </row>
    <row r="9" spans="1:14" x14ac:dyDescent="0.3">
      <c r="A9" t="s">
        <v>12</v>
      </c>
      <c r="B9" s="1">
        <v>45693</v>
      </c>
      <c r="C9" s="2">
        <v>45693.375694444447</v>
      </c>
      <c r="D9" s="2">
        <v>45693.75277777778</v>
      </c>
      <c r="E9">
        <v>9.0500000000000007</v>
      </c>
      <c r="F9" t="s">
        <v>13</v>
      </c>
      <c r="G9">
        <v>8</v>
      </c>
      <c r="H9">
        <v>1.05</v>
      </c>
      <c r="I9" t="b">
        <v>0</v>
      </c>
      <c r="K9" t="b">
        <v>0</v>
      </c>
      <c r="L9" t="b">
        <v>0</v>
      </c>
      <c r="M9" t="str">
        <f>_xlfn.XLOOKUP(A9, hr_employee_dim!A:A, hr_employee_dim!B:B)</f>
        <v>Aarav Sharma</v>
      </c>
      <c r="N9" t="str">
        <f>_xlfn.XLOOKUP(A9, hr_employee_dim!A:A, hr_employee_dim!I:I)</f>
        <v>Analytics</v>
      </c>
    </row>
    <row r="10" spans="1:14" x14ac:dyDescent="0.3">
      <c r="A10" t="s">
        <v>14</v>
      </c>
      <c r="B10" s="1">
        <v>45659</v>
      </c>
      <c r="C10" s="2">
        <v>45659.381944444445</v>
      </c>
      <c r="D10" s="2">
        <v>45659.763888888891</v>
      </c>
      <c r="E10">
        <v>9.1666666666666607</v>
      </c>
      <c r="F10" t="s">
        <v>13</v>
      </c>
      <c r="G10">
        <v>8</v>
      </c>
      <c r="H10">
        <v>1.1666666666666601</v>
      </c>
      <c r="I10" t="b">
        <v>0</v>
      </c>
      <c r="K10" t="b">
        <v>0</v>
      </c>
      <c r="L10" t="b">
        <v>0</v>
      </c>
      <c r="M10" t="str">
        <f>_xlfn.XLOOKUP(A10, hr_employee_dim!A:A, hr_employee_dim!B:B)</f>
        <v>Diya Verma</v>
      </c>
      <c r="N10" t="str">
        <f>_xlfn.XLOOKUP(A10, hr_employee_dim!A:A, hr_employee_dim!I:I)</f>
        <v>Analytics</v>
      </c>
    </row>
    <row r="11" spans="1:14" x14ac:dyDescent="0.3">
      <c r="A11" t="s">
        <v>14</v>
      </c>
      <c r="B11" s="1">
        <v>45660</v>
      </c>
      <c r="C11" s="2">
        <v>45660.378472222219</v>
      </c>
      <c r="D11" s="2">
        <v>45660.760416666664</v>
      </c>
      <c r="E11">
        <v>9.1666666666666607</v>
      </c>
      <c r="F11" t="s">
        <v>13</v>
      </c>
      <c r="G11">
        <v>8</v>
      </c>
      <c r="H11">
        <v>1.1666666666666601</v>
      </c>
      <c r="I11" t="b">
        <v>0</v>
      </c>
      <c r="K11" t="b">
        <v>0</v>
      </c>
      <c r="L11" t="b">
        <v>0</v>
      </c>
      <c r="M11" t="str">
        <f>_xlfn.XLOOKUP(A11, hr_employee_dim!A:A, hr_employee_dim!B:B)</f>
        <v>Diya Verma</v>
      </c>
      <c r="N11" t="str">
        <f>_xlfn.XLOOKUP(A11, hr_employee_dim!A:A, hr_employee_dim!I:I)</f>
        <v>Analytics</v>
      </c>
    </row>
    <row r="12" spans="1:14" x14ac:dyDescent="0.3">
      <c r="A12" t="s">
        <v>14</v>
      </c>
      <c r="B12" s="1">
        <v>45691</v>
      </c>
      <c r="C12" s="2">
        <v>45691.383333333331</v>
      </c>
      <c r="D12" s="2">
        <v>45691.765277777777</v>
      </c>
      <c r="E12">
        <v>9.1666666666666607</v>
      </c>
      <c r="F12" t="s">
        <v>13</v>
      </c>
      <c r="G12">
        <v>8</v>
      </c>
      <c r="H12">
        <v>1.1666666666666601</v>
      </c>
      <c r="I12" t="b">
        <v>0</v>
      </c>
      <c r="K12" t="b">
        <v>0</v>
      </c>
      <c r="L12" t="b">
        <v>0</v>
      </c>
      <c r="M12" t="str">
        <f>_xlfn.XLOOKUP(A12, hr_employee_dim!A:A, hr_employee_dim!B:B)</f>
        <v>Diya Verma</v>
      </c>
      <c r="N12" t="str">
        <f>_xlfn.XLOOKUP(A12, hr_employee_dim!A:A, hr_employee_dim!I:I)</f>
        <v>Analytics</v>
      </c>
    </row>
    <row r="13" spans="1:14" x14ac:dyDescent="0.3">
      <c r="A13" t="s">
        <v>15</v>
      </c>
      <c r="B13" s="1">
        <v>45659</v>
      </c>
      <c r="C13" s="2">
        <v>45659.417361111111</v>
      </c>
      <c r="D13" s="2">
        <v>45659.793055555558</v>
      </c>
      <c r="E13">
        <v>9.0166666666666604</v>
      </c>
      <c r="F13" t="s">
        <v>16</v>
      </c>
      <c r="G13">
        <v>8</v>
      </c>
      <c r="H13">
        <v>1.0166666666666599</v>
      </c>
      <c r="I13" t="b">
        <v>0</v>
      </c>
      <c r="K13" t="b">
        <v>0</v>
      </c>
      <c r="L13" t="b">
        <v>0</v>
      </c>
      <c r="M13" t="str">
        <f>_xlfn.XLOOKUP(A13, hr_employee_dim!A:A, hr_employee_dim!B:B)</f>
        <v>Rahul Jain</v>
      </c>
      <c r="N13" t="str">
        <f>_xlfn.XLOOKUP(A13, hr_employee_dim!A:A, hr_employee_dim!I:I)</f>
        <v>Human Resources</v>
      </c>
    </row>
    <row r="14" spans="1:14" x14ac:dyDescent="0.3">
      <c r="A14" t="s">
        <v>15</v>
      </c>
      <c r="B14" s="1">
        <v>45692</v>
      </c>
      <c r="C14" s="2">
        <v>45692.420138888891</v>
      </c>
      <c r="D14" s="2">
        <v>45692.791666666664</v>
      </c>
      <c r="E14">
        <v>8.9166666666666607</v>
      </c>
      <c r="F14" t="s">
        <v>16</v>
      </c>
      <c r="G14">
        <v>8</v>
      </c>
      <c r="H14">
        <v>0.91666666666666596</v>
      </c>
      <c r="I14" t="b">
        <v>0</v>
      </c>
      <c r="K14" t="b">
        <v>0</v>
      </c>
      <c r="L14" t="b">
        <v>0</v>
      </c>
      <c r="M14" t="str">
        <f>_xlfn.XLOOKUP(A14, hr_employee_dim!A:A, hr_employee_dim!B:B)</f>
        <v>Rahul Jain</v>
      </c>
      <c r="N14" t="str">
        <f>_xlfn.XLOOKUP(A14, hr_employee_dim!A:A, hr_employee_dim!I:I)</f>
        <v>Human Resources</v>
      </c>
    </row>
    <row r="15" spans="1:14" x14ac:dyDescent="0.3">
      <c r="A15" t="s">
        <v>17</v>
      </c>
      <c r="B15" s="1">
        <v>45659</v>
      </c>
      <c r="C15" s="2">
        <v>45659.388888888891</v>
      </c>
      <c r="D15" s="2">
        <v>45659.770833333336</v>
      </c>
      <c r="E15">
        <v>9.1666666666666607</v>
      </c>
      <c r="F15" t="s">
        <v>13</v>
      </c>
      <c r="G15">
        <v>8</v>
      </c>
      <c r="H15">
        <v>1.1666666666666601</v>
      </c>
      <c r="I15" t="b">
        <v>0</v>
      </c>
      <c r="K15" t="b">
        <v>0</v>
      </c>
      <c r="L15" t="b">
        <v>0</v>
      </c>
      <c r="M15" t="str">
        <f>_xlfn.XLOOKUP(A15, hr_employee_dim!A:A, hr_employee_dim!B:B)</f>
        <v>Ananya Singh</v>
      </c>
      <c r="N15" t="str">
        <f>_xlfn.XLOOKUP(A15, hr_employee_dim!A:A, hr_employee_dim!I:I)</f>
        <v>Engineering</v>
      </c>
    </row>
    <row r="16" spans="1:14" x14ac:dyDescent="0.3">
      <c r="A16" t="s">
        <v>17</v>
      </c>
      <c r="B16" s="1">
        <v>45693</v>
      </c>
      <c r="C16" s="2">
        <v>45693.387499999997</v>
      </c>
      <c r="D16" s="2">
        <v>45693.767361111109</v>
      </c>
      <c r="E16">
        <v>9.11666666666666</v>
      </c>
      <c r="F16" t="s">
        <v>13</v>
      </c>
      <c r="G16">
        <v>8</v>
      </c>
      <c r="H16">
        <v>1.11666666666666</v>
      </c>
      <c r="I16" t="b">
        <v>0</v>
      </c>
      <c r="K16" t="b">
        <v>0</v>
      </c>
      <c r="L16" t="b">
        <v>0</v>
      </c>
      <c r="M16" t="str">
        <f>_xlfn.XLOOKUP(A16, hr_employee_dim!A:A, hr_employee_dim!B:B)</f>
        <v>Ananya Singh</v>
      </c>
      <c r="N16" t="str">
        <f>_xlfn.XLOOKUP(A16, hr_employee_dim!A:A, hr_employee_dim!I:I)</f>
        <v>Engineering</v>
      </c>
    </row>
    <row r="17" spans="1:14" x14ac:dyDescent="0.3">
      <c r="A17" t="s">
        <v>18</v>
      </c>
      <c r="B17" s="1">
        <v>45660</v>
      </c>
      <c r="C17" s="2">
        <v>45660.375</v>
      </c>
      <c r="D17" s="2">
        <v>45660.756944444445</v>
      </c>
      <c r="E17">
        <v>9.1666666666666607</v>
      </c>
      <c r="F17" t="s">
        <v>13</v>
      </c>
      <c r="G17">
        <v>8</v>
      </c>
      <c r="H17">
        <v>1.1666666666666601</v>
      </c>
      <c r="I17" t="b">
        <v>0</v>
      </c>
      <c r="K17" t="b">
        <v>0</v>
      </c>
      <c r="L17" t="b">
        <v>0</v>
      </c>
      <c r="M17" t="str">
        <f>_xlfn.XLOOKUP(A17, hr_employee_dim!A:A, hr_employee_dim!B:B)</f>
        <v>Vikram Rao</v>
      </c>
      <c r="N17" t="str">
        <f>_xlfn.XLOOKUP(A17, hr_employee_dim!A:A, hr_employee_dim!I:I)</f>
        <v>Engineering</v>
      </c>
    </row>
    <row r="18" spans="1:14" x14ac:dyDescent="0.3">
      <c r="A18" t="s">
        <v>18</v>
      </c>
      <c r="B18" s="1">
        <v>45691</v>
      </c>
      <c r="C18" s="2">
        <v>45691.377083333333</v>
      </c>
      <c r="D18" s="2">
        <v>45691.758333333331</v>
      </c>
      <c r="E18">
        <v>9.15</v>
      </c>
      <c r="F18" t="s">
        <v>13</v>
      </c>
      <c r="G18">
        <v>8</v>
      </c>
      <c r="H18">
        <v>1.1499999999999999</v>
      </c>
      <c r="I18" t="b">
        <v>0</v>
      </c>
      <c r="K18" t="b">
        <v>0</v>
      </c>
      <c r="L18" t="b">
        <v>0</v>
      </c>
      <c r="M18" t="str">
        <f>_xlfn.XLOOKUP(A18, hr_employee_dim!A:A, hr_employee_dim!B:B)</f>
        <v>Vikram Rao</v>
      </c>
      <c r="N18" t="str">
        <f>_xlfn.XLOOKUP(A18, hr_employee_dim!A:A, hr_employee_dim!I:I)</f>
        <v>Engineering</v>
      </c>
    </row>
    <row r="19" spans="1:14" x14ac:dyDescent="0.3">
      <c r="A19" t="s">
        <v>19</v>
      </c>
      <c r="B19" s="1">
        <v>45659</v>
      </c>
      <c r="C19" s="2">
        <v>45659.379166666666</v>
      </c>
      <c r="D19" s="2">
        <v>45659.754166666666</v>
      </c>
      <c r="E19">
        <v>9</v>
      </c>
      <c r="F19" t="s">
        <v>16</v>
      </c>
      <c r="G19">
        <v>8</v>
      </c>
      <c r="H19">
        <v>1</v>
      </c>
      <c r="I19" t="b">
        <v>0</v>
      </c>
      <c r="K19" t="b">
        <v>0</v>
      </c>
      <c r="L19" t="b">
        <v>0</v>
      </c>
      <c r="M19" t="str">
        <f>_xlfn.XLOOKUP(A19, hr_employee_dim!A:A, hr_employee_dim!B:B)</f>
        <v>Neha Gupta</v>
      </c>
      <c r="N19" t="str">
        <f>_xlfn.XLOOKUP(A19, hr_employee_dim!A:A, hr_employee_dim!I:I)</f>
        <v>Finance</v>
      </c>
    </row>
    <row r="20" spans="1:14" x14ac:dyDescent="0.3">
      <c r="A20" t="s">
        <v>19</v>
      </c>
      <c r="B20" s="1">
        <v>45660</v>
      </c>
      <c r="C20" s="2">
        <v>45660.379166666666</v>
      </c>
      <c r="D20" s="2">
        <v>45660.754166666666</v>
      </c>
      <c r="E20">
        <v>9</v>
      </c>
      <c r="F20" t="s">
        <v>16</v>
      </c>
      <c r="G20">
        <v>8</v>
      </c>
      <c r="H20">
        <v>1</v>
      </c>
      <c r="I20" t="b">
        <v>0</v>
      </c>
      <c r="K20" t="b">
        <v>0</v>
      </c>
      <c r="L20" t="b">
        <v>0</v>
      </c>
      <c r="M20" t="str">
        <f>_xlfn.XLOOKUP(A20, hr_employee_dim!A:A, hr_employee_dim!B:B)</f>
        <v>Neha Gupta</v>
      </c>
      <c r="N20" t="str">
        <f>_xlfn.XLOOKUP(A20, hr_employee_dim!A:A, hr_employee_dim!I:I)</f>
        <v>Finance</v>
      </c>
    </row>
    <row r="21" spans="1:14" x14ac:dyDescent="0.3">
      <c r="A21" t="s">
        <v>19</v>
      </c>
      <c r="B21" s="1">
        <v>45691</v>
      </c>
      <c r="C21" s="2">
        <v>45691.379166666666</v>
      </c>
      <c r="D21" s="2">
        <v>45691.754166666666</v>
      </c>
      <c r="E21">
        <v>9</v>
      </c>
      <c r="F21" t="s">
        <v>16</v>
      </c>
      <c r="G21">
        <v>8</v>
      </c>
      <c r="H21">
        <v>1</v>
      </c>
      <c r="I21" t="b">
        <v>0</v>
      </c>
      <c r="K21" t="b">
        <v>0</v>
      </c>
      <c r="L21" t="b">
        <v>0</v>
      </c>
      <c r="M21" t="str">
        <f>_xlfn.XLOOKUP(A21, hr_employee_dim!A:A, hr_employee_dim!B:B)</f>
        <v>Neha Gupta</v>
      </c>
      <c r="N21" t="str">
        <f>_xlfn.XLOOKUP(A21, hr_employee_dim!A:A, hr_employee_dim!I:I)</f>
        <v>Finance</v>
      </c>
    </row>
    <row r="22" spans="1:14" x14ac:dyDescent="0.3">
      <c r="A22" t="s">
        <v>20</v>
      </c>
      <c r="B22" s="1">
        <v>45659</v>
      </c>
      <c r="C22" s="2">
        <v>45659.379861111112</v>
      </c>
      <c r="D22" s="2">
        <v>45659.754861111112</v>
      </c>
      <c r="E22">
        <v>9</v>
      </c>
      <c r="F22" t="s">
        <v>16</v>
      </c>
      <c r="G22">
        <v>8</v>
      </c>
      <c r="H22">
        <v>1</v>
      </c>
      <c r="I22" t="b">
        <v>0</v>
      </c>
      <c r="K22" t="b">
        <v>0</v>
      </c>
      <c r="L22" t="b">
        <v>0</v>
      </c>
      <c r="M22" t="str">
        <f>_xlfn.XLOOKUP(A22, hr_employee_dim!A:A, hr_employee_dim!B:B)</f>
        <v>Arjun Mehta</v>
      </c>
      <c r="N22" t="str">
        <f>_xlfn.XLOOKUP(A22, hr_employee_dim!A:A, hr_employee_dim!I:I)</f>
        <v>Finance</v>
      </c>
    </row>
    <row r="23" spans="1:14" x14ac:dyDescent="0.3">
      <c r="A23" t="s">
        <v>20</v>
      </c>
      <c r="B23" s="1">
        <v>45660</v>
      </c>
      <c r="C23" s="2">
        <v>45660.379861111112</v>
      </c>
      <c r="D23" s="2">
        <v>45660.754861111112</v>
      </c>
      <c r="E23">
        <v>9</v>
      </c>
      <c r="F23" t="s">
        <v>16</v>
      </c>
      <c r="G23">
        <v>8</v>
      </c>
      <c r="H23">
        <v>1</v>
      </c>
      <c r="I23" t="b">
        <v>0</v>
      </c>
      <c r="K23" t="b">
        <v>0</v>
      </c>
      <c r="L23" t="b">
        <v>0</v>
      </c>
      <c r="M23" t="str">
        <f>_xlfn.XLOOKUP(A23, hr_employee_dim!A:A, hr_employee_dim!B:B)</f>
        <v>Arjun Mehta</v>
      </c>
      <c r="N23" t="str">
        <f>_xlfn.XLOOKUP(A23, hr_employee_dim!A:A, hr_employee_dim!I:I)</f>
        <v>Finance</v>
      </c>
    </row>
    <row r="24" spans="1:14" x14ac:dyDescent="0.3">
      <c r="A24" t="s">
        <v>20</v>
      </c>
      <c r="B24" s="1">
        <v>45691</v>
      </c>
      <c r="C24" s="2">
        <v>45691.379861111112</v>
      </c>
      <c r="D24" s="2">
        <v>45691.754861111112</v>
      </c>
      <c r="E24">
        <v>9</v>
      </c>
      <c r="F24" t="s">
        <v>16</v>
      </c>
      <c r="G24">
        <v>8</v>
      </c>
      <c r="H24">
        <v>1</v>
      </c>
      <c r="I24" t="b">
        <v>0</v>
      </c>
      <c r="K24" t="b">
        <v>0</v>
      </c>
      <c r="L24" t="b">
        <v>0</v>
      </c>
      <c r="M24" t="str">
        <f>_xlfn.XLOOKUP(A24, hr_employee_dim!A:A, hr_employee_dim!B:B)</f>
        <v>Arjun Mehta</v>
      </c>
      <c r="N24" t="str">
        <f>_xlfn.XLOOKUP(A24, hr_employee_dim!A:A, hr_employee_dim!I:I)</f>
        <v>Finance</v>
      </c>
    </row>
    <row r="25" spans="1:14" x14ac:dyDescent="0.3">
      <c r="A25" t="s">
        <v>21</v>
      </c>
      <c r="B25" s="1">
        <v>45659</v>
      </c>
      <c r="C25" s="2">
        <v>45659.380555555559</v>
      </c>
      <c r="D25" s="2">
        <v>45659.755555555559</v>
      </c>
      <c r="E25">
        <v>9</v>
      </c>
      <c r="F25" t="s">
        <v>22</v>
      </c>
      <c r="G25">
        <v>8</v>
      </c>
      <c r="H25">
        <v>1</v>
      </c>
      <c r="I25" t="b">
        <v>0</v>
      </c>
      <c r="K25" t="b">
        <v>0</v>
      </c>
      <c r="L25" t="b">
        <v>0</v>
      </c>
      <c r="M25" t="str">
        <f>_xlfn.XLOOKUP(A25, hr_employee_dim!A:A, hr_employee_dim!B:B)</f>
        <v>Isha Nair</v>
      </c>
      <c r="N25" t="str">
        <f>_xlfn.XLOOKUP(A25, hr_employee_dim!A:A, hr_employee_dim!I:I)</f>
        <v>IT Support</v>
      </c>
    </row>
    <row r="26" spans="1:14" x14ac:dyDescent="0.3">
      <c r="A26" t="s">
        <v>21</v>
      </c>
      <c r="B26" s="1">
        <v>45660</v>
      </c>
      <c r="C26" s="2">
        <v>45660.380555555559</v>
      </c>
      <c r="D26" s="2">
        <v>45660.755555555559</v>
      </c>
      <c r="E26">
        <v>9</v>
      </c>
      <c r="F26" t="s">
        <v>22</v>
      </c>
      <c r="G26">
        <v>8</v>
      </c>
      <c r="H26">
        <v>1</v>
      </c>
      <c r="I26" t="b">
        <v>0</v>
      </c>
      <c r="K26" t="b">
        <v>0</v>
      </c>
      <c r="L26" t="b">
        <v>0</v>
      </c>
      <c r="M26" t="str">
        <f>_xlfn.XLOOKUP(A26, hr_employee_dim!A:A, hr_employee_dim!B:B)</f>
        <v>Isha Nair</v>
      </c>
      <c r="N26" t="str">
        <f>_xlfn.XLOOKUP(A26, hr_employee_dim!A:A, hr_employee_dim!I:I)</f>
        <v>IT Support</v>
      </c>
    </row>
    <row r="27" spans="1:14" x14ac:dyDescent="0.3">
      <c r="A27" t="s">
        <v>21</v>
      </c>
      <c r="B27" s="1">
        <v>45691</v>
      </c>
      <c r="C27" s="2">
        <v>45691.380555555559</v>
      </c>
      <c r="D27" s="2">
        <v>45691.755555555559</v>
      </c>
      <c r="E27">
        <v>9</v>
      </c>
      <c r="F27" t="s">
        <v>22</v>
      </c>
      <c r="G27">
        <v>8</v>
      </c>
      <c r="H27">
        <v>1</v>
      </c>
      <c r="I27" t="b">
        <v>0</v>
      </c>
      <c r="K27" t="b">
        <v>0</v>
      </c>
      <c r="L27" t="b">
        <v>0</v>
      </c>
      <c r="M27" t="str">
        <f>_xlfn.XLOOKUP(A27, hr_employee_dim!A:A, hr_employee_dim!B:B)</f>
        <v>Isha Nair</v>
      </c>
      <c r="N27" t="str">
        <f>_xlfn.XLOOKUP(A27, hr_employee_dim!A:A, hr_employee_dim!I:I)</f>
        <v>IT Support</v>
      </c>
    </row>
    <row r="28" spans="1:14" x14ac:dyDescent="0.3">
      <c r="A28" t="s">
        <v>23</v>
      </c>
      <c r="B28" s="1">
        <v>45659</v>
      </c>
      <c r="C28" s="2">
        <v>45659.381249999999</v>
      </c>
      <c r="D28" s="2">
        <v>45659.756249999999</v>
      </c>
      <c r="E28">
        <v>9</v>
      </c>
      <c r="F28" t="s">
        <v>22</v>
      </c>
      <c r="G28">
        <v>8</v>
      </c>
      <c r="H28">
        <v>1</v>
      </c>
      <c r="I28" t="b">
        <v>0</v>
      </c>
      <c r="K28" t="b">
        <v>0</v>
      </c>
      <c r="L28" t="b">
        <v>0</v>
      </c>
      <c r="M28" t="str">
        <f>_xlfn.XLOOKUP(A28, hr_employee_dim!A:A, hr_employee_dim!B:B)</f>
        <v>Kunal Patel</v>
      </c>
      <c r="N28" t="str">
        <f>_xlfn.XLOOKUP(A28, hr_employee_dim!A:A, hr_employee_dim!I:I)</f>
        <v>IT Support</v>
      </c>
    </row>
    <row r="29" spans="1:14" x14ac:dyDescent="0.3">
      <c r="A29" t="s">
        <v>23</v>
      </c>
      <c r="B29" s="1">
        <v>45660</v>
      </c>
      <c r="C29" s="2">
        <v>45660.381249999999</v>
      </c>
      <c r="D29" s="2">
        <v>45660.756249999999</v>
      </c>
      <c r="E29">
        <v>9</v>
      </c>
      <c r="F29" t="s">
        <v>22</v>
      </c>
      <c r="G29">
        <v>8</v>
      </c>
      <c r="H29">
        <v>1</v>
      </c>
      <c r="I29" t="b">
        <v>0</v>
      </c>
      <c r="K29" t="b">
        <v>0</v>
      </c>
      <c r="L29" t="b">
        <v>0</v>
      </c>
      <c r="M29" t="str">
        <f>_xlfn.XLOOKUP(A29, hr_employee_dim!A:A, hr_employee_dim!B:B)</f>
        <v>Kunal Patel</v>
      </c>
      <c r="N29" t="str">
        <f>_xlfn.XLOOKUP(A29, hr_employee_dim!A:A, hr_employee_dim!I:I)</f>
        <v>IT Support</v>
      </c>
    </row>
    <row r="30" spans="1:14" x14ac:dyDescent="0.3">
      <c r="A30" t="s">
        <v>23</v>
      </c>
      <c r="B30" s="1">
        <v>45691</v>
      </c>
      <c r="C30" s="2">
        <v>45691.381249999999</v>
      </c>
      <c r="D30" s="2">
        <v>45691.756249999999</v>
      </c>
      <c r="E30">
        <v>9</v>
      </c>
      <c r="F30" t="s">
        <v>22</v>
      </c>
      <c r="G30">
        <v>8</v>
      </c>
      <c r="H30">
        <v>1</v>
      </c>
      <c r="I30" t="b">
        <v>0</v>
      </c>
      <c r="K30" t="b">
        <v>0</v>
      </c>
      <c r="L30" t="b">
        <v>0</v>
      </c>
      <c r="M30" t="str">
        <f>_xlfn.XLOOKUP(A30, hr_employee_dim!A:A, hr_employee_dim!B:B)</f>
        <v>Kunal Patel</v>
      </c>
      <c r="N30" t="str">
        <f>_xlfn.XLOOKUP(A30, hr_employee_dim!A:A, hr_employee_dim!I:I)</f>
        <v>IT Support</v>
      </c>
    </row>
    <row r="31" spans="1:14" x14ac:dyDescent="0.3">
      <c r="A31" t="s">
        <v>24</v>
      </c>
      <c r="B31" s="1">
        <v>45659</v>
      </c>
      <c r="C31" s="2">
        <v>45659.381944444445</v>
      </c>
      <c r="D31" s="2">
        <v>45659.756944444445</v>
      </c>
      <c r="E31">
        <v>9</v>
      </c>
      <c r="F31" t="s">
        <v>16</v>
      </c>
      <c r="G31">
        <v>8</v>
      </c>
      <c r="H31">
        <v>1</v>
      </c>
      <c r="I31" t="b">
        <v>0</v>
      </c>
      <c r="K31" t="b">
        <v>0</v>
      </c>
      <c r="L31" t="b">
        <v>0</v>
      </c>
      <c r="M31" t="str">
        <f>_xlfn.XLOOKUP(A31, hr_employee_dim!A:A, hr_employee_dim!B:B)</f>
        <v>Pooja Desai</v>
      </c>
      <c r="N31" t="str">
        <f>_xlfn.XLOOKUP(A31, hr_employee_dim!A:A, hr_employee_dim!I:I)</f>
        <v>Human Resources</v>
      </c>
    </row>
    <row r="32" spans="1:14" x14ac:dyDescent="0.3">
      <c r="A32" t="s">
        <v>24</v>
      </c>
      <c r="B32" s="1">
        <v>45660</v>
      </c>
      <c r="C32" s="2">
        <v>45660.381944444445</v>
      </c>
      <c r="D32" s="2">
        <v>45660.756944444445</v>
      </c>
      <c r="E32">
        <v>9</v>
      </c>
      <c r="F32" t="s">
        <v>16</v>
      </c>
      <c r="G32">
        <v>8</v>
      </c>
      <c r="H32">
        <v>1</v>
      </c>
      <c r="I32" t="b">
        <v>0</v>
      </c>
      <c r="K32" t="b">
        <v>0</v>
      </c>
      <c r="L32" t="b">
        <v>0</v>
      </c>
      <c r="M32" t="str">
        <f>_xlfn.XLOOKUP(A32, hr_employee_dim!A:A, hr_employee_dim!B:B)</f>
        <v>Pooja Desai</v>
      </c>
      <c r="N32" t="str">
        <f>_xlfn.XLOOKUP(A32, hr_employee_dim!A:A, hr_employee_dim!I:I)</f>
        <v>Human Resources</v>
      </c>
    </row>
    <row r="33" spans="1:14" x14ac:dyDescent="0.3">
      <c r="A33" t="s">
        <v>24</v>
      </c>
      <c r="B33" s="1">
        <v>45691</v>
      </c>
      <c r="C33" s="2">
        <v>45691.381944444445</v>
      </c>
      <c r="D33" s="2">
        <v>45691.756944444445</v>
      </c>
      <c r="E33">
        <v>9</v>
      </c>
      <c r="F33" t="s">
        <v>16</v>
      </c>
      <c r="G33">
        <v>8</v>
      </c>
      <c r="H33">
        <v>1</v>
      </c>
      <c r="I33" t="b">
        <v>0</v>
      </c>
      <c r="K33" t="b">
        <v>0</v>
      </c>
      <c r="L33" t="b">
        <v>0</v>
      </c>
      <c r="M33" t="str">
        <f>_xlfn.XLOOKUP(A33, hr_employee_dim!A:A, hr_employee_dim!B:B)</f>
        <v>Pooja Desai</v>
      </c>
      <c r="N33" t="str">
        <f>_xlfn.XLOOKUP(A33, hr_employee_dim!A:A, hr_employee_dim!I:I)</f>
        <v>Human Resources</v>
      </c>
    </row>
    <row r="34" spans="1:14" x14ac:dyDescent="0.3">
      <c r="A34" t="s">
        <v>25</v>
      </c>
      <c r="B34" s="1">
        <v>45659</v>
      </c>
      <c r="C34" s="2">
        <v>45659.382638888892</v>
      </c>
      <c r="D34" s="2">
        <v>45659.757638888892</v>
      </c>
      <c r="E34">
        <v>9</v>
      </c>
      <c r="F34" t="s">
        <v>13</v>
      </c>
      <c r="G34">
        <v>8</v>
      </c>
      <c r="H34">
        <v>1</v>
      </c>
      <c r="I34" t="b">
        <v>0</v>
      </c>
      <c r="K34" t="b">
        <v>0</v>
      </c>
      <c r="L34" t="b">
        <v>0</v>
      </c>
      <c r="M34" t="str">
        <f>_xlfn.XLOOKUP(A34, hr_employee_dim!A:A, hr_employee_dim!B:B)</f>
        <v>Rohan Das</v>
      </c>
      <c r="N34" t="str">
        <f>_xlfn.XLOOKUP(A34, hr_employee_dim!A:A, hr_employee_dim!I:I)</f>
        <v>Analytics</v>
      </c>
    </row>
    <row r="35" spans="1:14" x14ac:dyDescent="0.3">
      <c r="A35" t="s">
        <v>25</v>
      </c>
      <c r="B35" s="1">
        <v>45660</v>
      </c>
      <c r="C35" s="2">
        <v>45660.382638888892</v>
      </c>
      <c r="D35" s="2">
        <v>45660.757638888892</v>
      </c>
      <c r="E35">
        <v>9</v>
      </c>
      <c r="F35" t="s">
        <v>13</v>
      </c>
      <c r="G35">
        <v>8</v>
      </c>
      <c r="H35">
        <v>1</v>
      </c>
      <c r="I35" t="b">
        <v>0</v>
      </c>
      <c r="K35" t="b">
        <v>0</v>
      </c>
      <c r="L35" t="b">
        <v>0</v>
      </c>
      <c r="M35" t="str">
        <f>_xlfn.XLOOKUP(A35, hr_employee_dim!A:A, hr_employee_dim!B:B)</f>
        <v>Rohan Das</v>
      </c>
      <c r="N35" t="str">
        <f>_xlfn.XLOOKUP(A35, hr_employee_dim!A:A, hr_employee_dim!I:I)</f>
        <v>Analytics</v>
      </c>
    </row>
    <row r="36" spans="1:14" x14ac:dyDescent="0.3">
      <c r="A36" t="s">
        <v>25</v>
      </c>
      <c r="B36" s="1">
        <v>45691</v>
      </c>
      <c r="C36" s="2">
        <v>45691.382638888892</v>
      </c>
      <c r="D36" s="2">
        <v>45691.757638888892</v>
      </c>
      <c r="E36">
        <v>9</v>
      </c>
      <c r="F36" t="s">
        <v>13</v>
      </c>
      <c r="G36">
        <v>8</v>
      </c>
      <c r="H36">
        <v>1</v>
      </c>
      <c r="I36" t="b">
        <v>0</v>
      </c>
      <c r="K36" t="b">
        <v>0</v>
      </c>
      <c r="L36" t="b">
        <v>0</v>
      </c>
      <c r="M36" t="str">
        <f>_xlfn.XLOOKUP(A36, hr_employee_dim!A:A, hr_employee_dim!B:B)</f>
        <v>Rohan Das</v>
      </c>
      <c r="N36" t="str">
        <f>_xlfn.XLOOKUP(A36, hr_employee_dim!A:A, hr_employee_dim!I:I)</f>
        <v>Analytics</v>
      </c>
    </row>
    <row r="37" spans="1:14" x14ac:dyDescent="0.3">
      <c r="A37" t="s">
        <v>26</v>
      </c>
      <c r="B37" s="1">
        <v>45659</v>
      </c>
      <c r="C37" s="2">
        <v>45659.383333333331</v>
      </c>
      <c r="D37" s="2">
        <v>45659.758333333331</v>
      </c>
      <c r="E37">
        <v>9</v>
      </c>
      <c r="F37" t="s">
        <v>13</v>
      </c>
      <c r="G37">
        <v>8</v>
      </c>
      <c r="H37">
        <v>1</v>
      </c>
      <c r="I37" t="b">
        <v>0</v>
      </c>
      <c r="K37" t="b">
        <v>0</v>
      </c>
      <c r="L37" t="b">
        <v>0</v>
      </c>
      <c r="M37" t="str">
        <f>_xlfn.XLOOKUP(A37, hr_employee_dim!A:A, hr_employee_dim!B:B)</f>
        <v>Sneha Kulkarni</v>
      </c>
      <c r="N37" t="str">
        <f>_xlfn.XLOOKUP(A37, hr_employee_dim!A:A, hr_employee_dim!I:I)</f>
        <v>Engineering</v>
      </c>
    </row>
    <row r="38" spans="1:14" x14ac:dyDescent="0.3">
      <c r="A38" t="s">
        <v>26</v>
      </c>
      <c r="B38" s="1">
        <v>45660</v>
      </c>
      <c r="C38" s="2">
        <v>45660.383333333331</v>
      </c>
      <c r="D38" s="2">
        <v>45660.758333333331</v>
      </c>
      <c r="E38">
        <v>9</v>
      </c>
      <c r="F38" t="s">
        <v>13</v>
      </c>
      <c r="G38">
        <v>8</v>
      </c>
      <c r="H38">
        <v>1</v>
      </c>
      <c r="I38" t="b">
        <v>0</v>
      </c>
      <c r="K38" t="b">
        <v>0</v>
      </c>
      <c r="L38" t="b">
        <v>0</v>
      </c>
      <c r="M38" t="str">
        <f>_xlfn.XLOOKUP(A38, hr_employee_dim!A:A, hr_employee_dim!B:B)</f>
        <v>Sneha Kulkarni</v>
      </c>
      <c r="N38" t="str">
        <f>_xlfn.XLOOKUP(A38, hr_employee_dim!A:A, hr_employee_dim!I:I)</f>
        <v>Engineering</v>
      </c>
    </row>
    <row r="39" spans="1:14" x14ac:dyDescent="0.3">
      <c r="A39" t="s">
        <v>26</v>
      </c>
      <c r="B39" s="1">
        <v>45691</v>
      </c>
      <c r="C39" s="2">
        <v>45691.383333333331</v>
      </c>
      <c r="D39" s="2">
        <v>45691.758333333331</v>
      </c>
      <c r="E39">
        <v>9</v>
      </c>
      <c r="F39" t="s">
        <v>13</v>
      </c>
      <c r="G39">
        <v>8</v>
      </c>
      <c r="H39">
        <v>1</v>
      </c>
      <c r="I39" t="b">
        <v>0</v>
      </c>
      <c r="K39" t="b">
        <v>0</v>
      </c>
      <c r="L39" t="b">
        <v>0</v>
      </c>
      <c r="M39" t="str">
        <f>_xlfn.XLOOKUP(A39, hr_employee_dim!A:A, hr_employee_dim!B:B)</f>
        <v>Sneha Kulkarni</v>
      </c>
      <c r="N39" t="str">
        <f>_xlfn.XLOOKUP(A39, hr_employee_dim!A:A, hr_employee_dim!I:I)</f>
        <v>Engineering</v>
      </c>
    </row>
    <row r="40" spans="1:14" x14ac:dyDescent="0.3">
      <c r="A40" t="s">
        <v>27</v>
      </c>
      <c r="B40" s="1">
        <v>45659</v>
      </c>
      <c r="C40" s="2">
        <v>45659.384027777778</v>
      </c>
      <c r="D40" s="2">
        <v>45659.759027777778</v>
      </c>
      <c r="E40">
        <v>9</v>
      </c>
      <c r="F40" t="s">
        <v>13</v>
      </c>
      <c r="G40">
        <v>8</v>
      </c>
      <c r="H40">
        <v>1</v>
      </c>
      <c r="I40" t="b">
        <v>0</v>
      </c>
      <c r="K40" t="b">
        <v>0</v>
      </c>
      <c r="L40" t="b">
        <v>0</v>
      </c>
      <c r="M40" t="str">
        <f>_xlfn.XLOOKUP(A40, hr_employee_dim!A:A, hr_employee_dim!B:B)</f>
        <v>Aditya Mishra</v>
      </c>
      <c r="N40" t="str">
        <f>_xlfn.XLOOKUP(A40, hr_employee_dim!A:A, hr_employee_dim!I:I)</f>
        <v>Analytics</v>
      </c>
    </row>
    <row r="41" spans="1:14" x14ac:dyDescent="0.3">
      <c r="A41" t="s">
        <v>27</v>
      </c>
      <c r="B41" s="1">
        <v>45660</v>
      </c>
      <c r="C41" s="2">
        <v>45660.384027777778</v>
      </c>
      <c r="D41" s="2">
        <v>45660.759027777778</v>
      </c>
      <c r="E41">
        <v>9</v>
      </c>
      <c r="F41" t="s">
        <v>13</v>
      </c>
      <c r="G41">
        <v>8</v>
      </c>
      <c r="H41">
        <v>1</v>
      </c>
      <c r="I41" t="b">
        <v>0</v>
      </c>
      <c r="K41" t="b">
        <v>0</v>
      </c>
      <c r="L41" t="b">
        <v>0</v>
      </c>
      <c r="M41" t="str">
        <f>_xlfn.XLOOKUP(A41, hr_employee_dim!A:A, hr_employee_dim!B:B)</f>
        <v>Aditya Mishra</v>
      </c>
      <c r="N41" t="str">
        <f>_xlfn.XLOOKUP(A41, hr_employee_dim!A:A, hr_employee_dim!I:I)</f>
        <v>Analytics</v>
      </c>
    </row>
    <row r="42" spans="1:14" x14ac:dyDescent="0.3">
      <c r="A42" t="s">
        <v>27</v>
      </c>
      <c r="B42" s="1">
        <v>45691</v>
      </c>
      <c r="C42" s="2">
        <v>45691.384027777778</v>
      </c>
      <c r="D42" s="2">
        <v>45691.759027777778</v>
      </c>
      <c r="E42">
        <v>9</v>
      </c>
      <c r="F42" t="s">
        <v>13</v>
      </c>
      <c r="G42">
        <v>8</v>
      </c>
      <c r="H42">
        <v>1</v>
      </c>
      <c r="I42" t="b">
        <v>0</v>
      </c>
      <c r="K42" t="b">
        <v>0</v>
      </c>
      <c r="L42" t="b">
        <v>0</v>
      </c>
      <c r="M42" t="str">
        <f>_xlfn.XLOOKUP(A42, hr_employee_dim!A:A, hr_employee_dim!B:B)</f>
        <v>Aditya Mishra</v>
      </c>
      <c r="N42" t="str">
        <f>_xlfn.XLOOKUP(A42, hr_employee_dim!A:A, hr_employee_dim!I:I)</f>
        <v>Analytics</v>
      </c>
    </row>
    <row r="43" spans="1:14" x14ac:dyDescent="0.3">
      <c r="A43" t="s">
        <v>28</v>
      </c>
      <c r="B43" s="1">
        <v>45659</v>
      </c>
      <c r="C43" s="2">
        <v>45659.384722222225</v>
      </c>
      <c r="D43" s="2">
        <v>45659.759722222225</v>
      </c>
      <c r="E43">
        <v>9</v>
      </c>
      <c r="F43" t="s">
        <v>16</v>
      </c>
      <c r="G43">
        <v>8</v>
      </c>
      <c r="H43">
        <v>1</v>
      </c>
      <c r="I43" t="b">
        <v>0</v>
      </c>
      <c r="K43" t="b">
        <v>0</v>
      </c>
      <c r="L43" t="b">
        <v>0</v>
      </c>
      <c r="M43" t="str">
        <f>_xlfn.XLOOKUP(A43, hr_employee_dim!A:A, hr_employee_dim!B:B)</f>
        <v>Kritika Yadav</v>
      </c>
      <c r="N43" t="str">
        <f>_xlfn.XLOOKUP(A43, hr_employee_dim!A:A, hr_employee_dim!I:I)</f>
        <v>Finance</v>
      </c>
    </row>
    <row r="44" spans="1:14" x14ac:dyDescent="0.3">
      <c r="A44" t="s">
        <v>28</v>
      </c>
      <c r="B44" s="1">
        <v>45660</v>
      </c>
      <c r="C44" s="2">
        <v>45660.384722222225</v>
      </c>
      <c r="D44" s="2">
        <v>45660.759722222225</v>
      </c>
      <c r="E44">
        <v>9</v>
      </c>
      <c r="F44" t="s">
        <v>16</v>
      </c>
      <c r="G44">
        <v>8</v>
      </c>
      <c r="H44">
        <v>1</v>
      </c>
      <c r="I44" t="b">
        <v>0</v>
      </c>
      <c r="K44" t="b">
        <v>0</v>
      </c>
      <c r="L44" t="b">
        <v>0</v>
      </c>
      <c r="M44" t="str">
        <f>_xlfn.XLOOKUP(A44, hr_employee_dim!A:A, hr_employee_dim!B:B)</f>
        <v>Kritika Yadav</v>
      </c>
      <c r="N44" t="str">
        <f>_xlfn.XLOOKUP(A44, hr_employee_dim!A:A, hr_employee_dim!I:I)</f>
        <v>Finance</v>
      </c>
    </row>
    <row r="45" spans="1:14" x14ac:dyDescent="0.3">
      <c r="A45" t="s">
        <v>28</v>
      </c>
      <c r="B45" s="1">
        <v>45691</v>
      </c>
      <c r="C45" s="2">
        <v>45691.384722222225</v>
      </c>
      <c r="D45" s="2">
        <v>45691.759722222225</v>
      </c>
      <c r="E45">
        <v>9</v>
      </c>
      <c r="F45" t="s">
        <v>16</v>
      </c>
      <c r="G45">
        <v>8</v>
      </c>
      <c r="H45">
        <v>1</v>
      </c>
      <c r="I45" t="b">
        <v>0</v>
      </c>
      <c r="K45" t="b">
        <v>0</v>
      </c>
      <c r="L45" t="b">
        <v>0</v>
      </c>
      <c r="M45" t="str">
        <f>_xlfn.XLOOKUP(A45, hr_employee_dim!A:A, hr_employee_dim!B:B)</f>
        <v>Kritika Yadav</v>
      </c>
      <c r="N45" t="str">
        <f>_xlfn.XLOOKUP(A45, hr_employee_dim!A:A, hr_employee_dim!I:I)</f>
        <v>Finance</v>
      </c>
    </row>
    <row r="46" spans="1:14" x14ac:dyDescent="0.3">
      <c r="A46" t="s">
        <v>29</v>
      </c>
      <c r="B46" s="1">
        <v>45659</v>
      </c>
      <c r="C46" s="2">
        <v>45659.385416666664</v>
      </c>
      <c r="D46" s="2">
        <v>45659.760416666664</v>
      </c>
      <c r="E46">
        <v>9</v>
      </c>
      <c r="F46" t="s">
        <v>13</v>
      </c>
      <c r="G46">
        <v>8</v>
      </c>
      <c r="H46">
        <v>1</v>
      </c>
      <c r="I46" t="b">
        <v>0</v>
      </c>
      <c r="K46" t="b">
        <v>0</v>
      </c>
      <c r="L46" t="b">
        <v>0</v>
      </c>
      <c r="M46" t="str">
        <f>_xlfn.XLOOKUP(A46, hr_employee_dim!A:A, hr_employee_dim!B:B)</f>
        <v>Manish Kumar</v>
      </c>
      <c r="N46" t="str">
        <f>_xlfn.XLOOKUP(A46, hr_employee_dim!A:A, hr_employee_dim!I:I)</f>
        <v>Engineering</v>
      </c>
    </row>
    <row r="47" spans="1:14" x14ac:dyDescent="0.3">
      <c r="A47" t="s">
        <v>29</v>
      </c>
      <c r="B47" s="1">
        <v>45660</v>
      </c>
      <c r="C47" s="2">
        <v>45660.385416666664</v>
      </c>
      <c r="D47" s="2">
        <v>45660.760416666664</v>
      </c>
      <c r="E47">
        <v>9</v>
      </c>
      <c r="F47" t="s">
        <v>13</v>
      </c>
      <c r="G47">
        <v>8</v>
      </c>
      <c r="H47">
        <v>1</v>
      </c>
      <c r="I47" t="b">
        <v>0</v>
      </c>
      <c r="J47" t="s">
        <v>30</v>
      </c>
      <c r="K47" t="b">
        <v>1</v>
      </c>
      <c r="L47" t="b">
        <v>0</v>
      </c>
      <c r="M47" t="str">
        <f>_xlfn.XLOOKUP(A47, hr_employee_dim!A:A, hr_employee_dim!B:B)</f>
        <v>Manish Kumar</v>
      </c>
      <c r="N47" t="str">
        <f>_xlfn.XLOOKUP(A47, hr_employee_dim!A:A, hr_employee_dim!I:I)</f>
        <v>Engineering</v>
      </c>
    </row>
    <row r="48" spans="1:14" x14ac:dyDescent="0.3">
      <c r="A48" t="s">
        <v>29</v>
      </c>
      <c r="B48" s="1">
        <v>45691</v>
      </c>
      <c r="C48" s="2">
        <v>45691.385416666664</v>
      </c>
      <c r="D48" s="2">
        <v>45691.760416666664</v>
      </c>
      <c r="E48">
        <v>9</v>
      </c>
      <c r="F48" t="s">
        <v>13</v>
      </c>
      <c r="G48">
        <v>8</v>
      </c>
      <c r="H48">
        <v>1</v>
      </c>
      <c r="I48" t="b">
        <v>0</v>
      </c>
      <c r="K48" t="b">
        <v>0</v>
      </c>
      <c r="L48" t="b">
        <v>0</v>
      </c>
      <c r="M48" t="str">
        <f>_xlfn.XLOOKUP(A48, hr_employee_dim!A:A, hr_employee_dim!B:B)</f>
        <v>Manish Kumar</v>
      </c>
      <c r="N48" t="str">
        <f>_xlfn.XLOOKUP(A48, hr_employee_dim!A:A, hr_employee_dim!I:I)</f>
        <v>Engineering</v>
      </c>
    </row>
    <row r="49" spans="1:14" x14ac:dyDescent="0.3">
      <c r="A49" t="s">
        <v>31</v>
      </c>
      <c r="B49" s="1">
        <v>45659</v>
      </c>
      <c r="C49" s="2">
        <v>45659.386111111111</v>
      </c>
      <c r="D49" s="2">
        <v>45659.761111111111</v>
      </c>
      <c r="E49">
        <v>9</v>
      </c>
      <c r="F49" t="s">
        <v>22</v>
      </c>
      <c r="G49">
        <v>8</v>
      </c>
      <c r="H49">
        <v>1</v>
      </c>
      <c r="I49" t="b">
        <v>0</v>
      </c>
      <c r="K49" t="b">
        <v>0</v>
      </c>
      <c r="L49" t="b">
        <v>0</v>
      </c>
      <c r="M49" t="str">
        <f>_xlfn.XLOOKUP(A49, hr_employee_dim!A:A, hr_employee_dim!B:B)</f>
        <v>Shreya Iyer</v>
      </c>
      <c r="N49" t="str">
        <f>_xlfn.XLOOKUP(A49, hr_employee_dim!A:A, hr_employee_dim!I:I)</f>
        <v>IT Support</v>
      </c>
    </row>
    <row r="50" spans="1:14" x14ac:dyDescent="0.3">
      <c r="A50" t="s">
        <v>31</v>
      </c>
      <c r="B50" s="1">
        <v>45660</v>
      </c>
      <c r="C50" s="2">
        <v>45660.386111111111</v>
      </c>
      <c r="D50" s="2">
        <v>45660.761111111111</v>
      </c>
      <c r="E50">
        <v>9</v>
      </c>
      <c r="F50" t="s">
        <v>22</v>
      </c>
      <c r="G50">
        <v>8</v>
      </c>
      <c r="H50">
        <v>1</v>
      </c>
      <c r="I50" t="b">
        <v>0</v>
      </c>
      <c r="K50" t="b">
        <v>0</v>
      </c>
      <c r="L50" t="b">
        <v>0</v>
      </c>
      <c r="M50" t="str">
        <f>_xlfn.XLOOKUP(A50, hr_employee_dim!A:A, hr_employee_dim!B:B)</f>
        <v>Shreya Iyer</v>
      </c>
      <c r="N50" t="str">
        <f>_xlfn.XLOOKUP(A50, hr_employee_dim!A:A, hr_employee_dim!I:I)</f>
        <v>IT Support</v>
      </c>
    </row>
    <row r="51" spans="1:14" x14ac:dyDescent="0.3">
      <c r="A51" t="s">
        <v>31</v>
      </c>
      <c r="B51" s="1">
        <v>45691</v>
      </c>
      <c r="C51" s="2">
        <v>45691.386111111111</v>
      </c>
      <c r="D51" s="2">
        <v>45691.761111111111</v>
      </c>
      <c r="E51">
        <v>9</v>
      </c>
      <c r="F51" t="s">
        <v>22</v>
      </c>
      <c r="G51">
        <v>8</v>
      </c>
      <c r="H51">
        <v>1</v>
      </c>
      <c r="I51" t="b">
        <v>0</v>
      </c>
      <c r="K51" t="b">
        <v>0</v>
      </c>
      <c r="L51" t="b">
        <v>0</v>
      </c>
      <c r="M51" t="str">
        <f>_xlfn.XLOOKUP(A51, hr_employee_dim!A:A, hr_employee_dim!B:B)</f>
        <v>Shreya Iyer</v>
      </c>
      <c r="N51" t="str">
        <f>_xlfn.XLOOKUP(A51, hr_employee_dim!A:A, hr_employee_dim!I:I)</f>
        <v>IT Support</v>
      </c>
    </row>
    <row r="52" spans="1:14" x14ac:dyDescent="0.3">
      <c r="A52" t="s">
        <v>32</v>
      </c>
      <c r="B52" s="1">
        <v>45659</v>
      </c>
      <c r="C52" s="2">
        <v>45659.386805555558</v>
      </c>
      <c r="D52" s="2">
        <v>45659.761805555558</v>
      </c>
      <c r="E52">
        <v>9</v>
      </c>
      <c r="F52" t="s">
        <v>16</v>
      </c>
      <c r="G52">
        <v>8</v>
      </c>
      <c r="H52">
        <v>1</v>
      </c>
      <c r="I52" t="b">
        <v>0</v>
      </c>
      <c r="K52" t="b">
        <v>0</v>
      </c>
      <c r="L52" t="b">
        <v>0</v>
      </c>
      <c r="M52" t="str">
        <f>_xlfn.XLOOKUP(A52, hr_employee_dim!A:A, hr_employee_dim!B:B)</f>
        <v>Siddharth Roy</v>
      </c>
      <c r="N52" t="str">
        <f>_xlfn.XLOOKUP(A52, hr_employee_dim!A:A, hr_employee_dim!I:I)</f>
        <v>Human Resources</v>
      </c>
    </row>
    <row r="53" spans="1:14" x14ac:dyDescent="0.3">
      <c r="A53" t="s">
        <v>32</v>
      </c>
      <c r="B53" s="1">
        <v>45660</v>
      </c>
      <c r="C53" s="2">
        <v>45660.386805555558</v>
      </c>
      <c r="D53" s="2">
        <v>45660.761805555558</v>
      </c>
      <c r="E53">
        <v>9</v>
      </c>
      <c r="F53" t="s">
        <v>16</v>
      </c>
      <c r="G53">
        <v>8</v>
      </c>
      <c r="H53">
        <v>1</v>
      </c>
      <c r="I53" t="b">
        <v>0</v>
      </c>
      <c r="K53" t="b">
        <v>0</v>
      </c>
      <c r="L53" t="b">
        <v>0</v>
      </c>
      <c r="M53" t="str">
        <f>_xlfn.XLOOKUP(A53, hr_employee_dim!A:A, hr_employee_dim!B:B)</f>
        <v>Siddharth Roy</v>
      </c>
      <c r="N53" t="str">
        <f>_xlfn.XLOOKUP(A53, hr_employee_dim!A:A, hr_employee_dim!I:I)</f>
        <v>Human Resources</v>
      </c>
    </row>
    <row r="54" spans="1:14" x14ac:dyDescent="0.3">
      <c r="A54" t="s">
        <v>32</v>
      </c>
      <c r="B54" s="1">
        <v>45691</v>
      </c>
      <c r="C54" s="2">
        <v>45691.386805555558</v>
      </c>
      <c r="D54" s="2">
        <v>45691.761805555558</v>
      </c>
      <c r="E54">
        <v>9</v>
      </c>
      <c r="F54" t="s">
        <v>16</v>
      </c>
      <c r="G54">
        <v>8</v>
      </c>
      <c r="H54">
        <v>1</v>
      </c>
      <c r="I54" t="b">
        <v>0</v>
      </c>
      <c r="K54" t="b">
        <v>0</v>
      </c>
      <c r="L54" t="b">
        <v>0</v>
      </c>
      <c r="M54" t="str">
        <f>_xlfn.XLOOKUP(A54, hr_employee_dim!A:A, hr_employee_dim!B:B)</f>
        <v>Siddharth Roy</v>
      </c>
      <c r="N54" t="str">
        <f>_xlfn.XLOOKUP(A54, hr_employee_dim!A:A, hr_employee_dim!I:I)</f>
        <v>Human Resources</v>
      </c>
    </row>
    <row r="55" spans="1:14" x14ac:dyDescent="0.3">
      <c r="A55" t="s">
        <v>33</v>
      </c>
      <c r="B55" s="1">
        <v>45659</v>
      </c>
      <c r="C55" s="2">
        <v>45659.387499999997</v>
      </c>
      <c r="D55" s="2">
        <v>45659.762499999997</v>
      </c>
      <c r="E55">
        <v>9</v>
      </c>
      <c r="F55" t="s">
        <v>13</v>
      </c>
      <c r="G55">
        <v>8</v>
      </c>
      <c r="H55">
        <v>1</v>
      </c>
      <c r="I55" t="b">
        <v>0</v>
      </c>
      <c r="K55" t="b">
        <v>0</v>
      </c>
      <c r="L55" t="b">
        <v>0</v>
      </c>
      <c r="M55" t="str">
        <f>_xlfn.XLOOKUP(A55, hr_employee_dim!A:A, hr_employee_dim!B:B)</f>
        <v>Tanvi Bose</v>
      </c>
      <c r="N55" t="str">
        <f>_xlfn.XLOOKUP(A55, hr_employee_dim!A:A, hr_employee_dim!I:I)</f>
        <v>Analytics</v>
      </c>
    </row>
    <row r="56" spans="1:14" x14ac:dyDescent="0.3">
      <c r="A56" t="s">
        <v>33</v>
      </c>
      <c r="B56" s="1">
        <v>45660</v>
      </c>
      <c r="C56" s="2">
        <v>45660.387499999997</v>
      </c>
      <c r="D56" s="2">
        <v>45660.762499999997</v>
      </c>
      <c r="E56">
        <v>9</v>
      </c>
      <c r="F56" t="s">
        <v>13</v>
      </c>
      <c r="G56">
        <v>8</v>
      </c>
      <c r="H56">
        <v>1</v>
      </c>
      <c r="I56" t="b">
        <v>0</v>
      </c>
      <c r="K56" t="b">
        <v>0</v>
      </c>
      <c r="L56" t="b">
        <v>0</v>
      </c>
      <c r="M56" t="str">
        <f>_xlfn.XLOOKUP(A56, hr_employee_dim!A:A, hr_employee_dim!B:B)</f>
        <v>Tanvi Bose</v>
      </c>
      <c r="N56" t="str">
        <f>_xlfn.XLOOKUP(A56, hr_employee_dim!A:A, hr_employee_dim!I:I)</f>
        <v>Analytics</v>
      </c>
    </row>
    <row r="57" spans="1:14" x14ac:dyDescent="0.3">
      <c r="A57" t="s">
        <v>33</v>
      </c>
      <c r="B57" s="1">
        <v>45691</v>
      </c>
      <c r="C57" s="2">
        <v>45691.387499999997</v>
      </c>
      <c r="D57" s="2">
        <v>45691.762499999997</v>
      </c>
      <c r="E57">
        <v>9</v>
      </c>
      <c r="F57" t="s">
        <v>13</v>
      </c>
      <c r="G57">
        <v>8</v>
      </c>
      <c r="H57">
        <v>1</v>
      </c>
      <c r="I57" t="b">
        <v>0</v>
      </c>
      <c r="K57" t="b">
        <v>0</v>
      </c>
      <c r="L57" t="b">
        <v>0</v>
      </c>
      <c r="M57" t="str">
        <f>_xlfn.XLOOKUP(A57, hr_employee_dim!A:A, hr_employee_dim!B:B)</f>
        <v>Tanvi Bose</v>
      </c>
      <c r="N57" t="str">
        <f>_xlfn.XLOOKUP(A57, hr_employee_dim!A:A, hr_employee_dim!I:I)</f>
        <v>Analytics</v>
      </c>
    </row>
    <row r="58" spans="1:14" x14ac:dyDescent="0.3">
      <c r="A58" t="s">
        <v>34</v>
      </c>
      <c r="B58" s="1">
        <v>45659</v>
      </c>
      <c r="C58" s="2">
        <v>45659.388194444444</v>
      </c>
      <c r="D58" s="2">
        <v>45659.763194444444</v>
      </c>
      <c r="E58">
        <v>9</v>
      </c>
      <c r="F58" t="s">
        <v>13</v>
      </c>
      <c r="G58">
        <v>8</v>
      </c>
      <c r="H58">
        <v>1</v>
      </c>
      <c r="I58" t="b">
        <v>0</v>
      </c>
      <c r="K58" t="b">
        <v>0</v>
      </c>
      <c r="L58" t="b">
        <v>0</v>
      </c>
      <c r="M58" t="str">
        <f>_xlfn.XLOOKUP(A58, hr_employee_dim!A:A, hr_employee_dim!B:B)</f>
        <v>Harsh Vardhan</v>
      </c>
      <c r="N58" t="str">
        <f>_xlfn.XLOOKUP(A58, hr_employee_dim!A:A, hr_employee_dim!I:I)</f>
        <v>Engineering</v>
      </c>
    </row>
    <row r="59" spans="1:14" x14ac:dyDescent="0.3">
      <c r="A59" t="s">
        <v>34</v>
      </c>
      <c r="B59" s="1">
        <v>45660</v>
      </c>
      <c r="C59" s="2">
        <v>45660.388194444444</v>
      </c>
      <c r="D59" s="2">
        <v>45660.763194444444</v>
      </c>
      <c r="E59">
        <v>9</v>
      </c>
      <c r="F59" t="s">
        <v>13</v>
      </c>
      <c r="G59">
        <v>8</v>
      </c>
      <c r="H59">
        <v>1</v>
      </c>
      <c r="I59" t="b">
        <v>0</v>
      </c>
      <c r="K59" t="b">
        <v>0</v>
      </c>
      <c r="L59" t="b">
        <v>0</v>
      </c>
      <c r="M59" t="str">
        <f>_xlfn.XLOOKUP(A59, hr_employee_dim!A:A, hr_employee_dim!B:B)</f>
        <v>Harsh Vardhan</v>
      </c>
      <c r="N59" t="str">
        <f>_xlfn.XLOOKUP(A59, hr_employee_dim!A:A, hr_employee_dim!I:I)</f>
        <v>Engineering</v>
      </c>
    </row>
    <row r="60" spans="1:14" x14ac:dyDescent="0.3">
      <c r="A60" t="s">
        <v>34</v>
      </c>
      <c r="B60" s="1">
        <v>45691</v>
      </c>
      <c r="C60" s="2">
        <v>45691.388194444444</v>
      </c>
      <c r="D60" s="2">
        <v>45691.763194444444</v>
      </c>
      <c r="E60">
        <v>9</v>
      </c>
      <c r="F60" t="s">
        <v>13</v>
      </c>
      <c r="G60">
        <v>8</v>
      </c>
      <c r="H60">
        <v>1</v>
      </c>
      <c r="I60" t="b">
        <v>0</v>
      </c>
      <c r="K60" t="b">
        <v>0</v>
      </c>
      <c r="L60" t="b">
        <v>0</v>
      </c>
      <c r="M60" t="str">
        <f>_xlfn.XLOOKUP(A60, hr_employee_dim!A:A, hr_employee_dim!B:B)</f>
        <v>Harsh Vardhan</v>
      </c>
      <c r="N60" t="str">
        <f>_xlfn.XLOOKUP(A60, hr_employee_dim!A:A, hr_employee_dim!I:I)</f>
        <v>Engineering</v>
      </c>
    </row>
    <row r="61" spans="1:14" x14ac:dyDescent="0.3">
      <c r="A61" t="s">
        <v>35</v>
      </c>
      <c r="B61" s="1">
        <v>45659</v>
      </c>
      <c r="C61" s="2">
        <v>45659.388888888891</v>
      </c>
      <c r="D61" s="2">
        <v>45659.763888888891</v>
      </c>
      <c r="E61">
        <v>9</v>
      </c>
      <c r="F61" t="s">
        <v>16</v>
      </c>
      <c r="G61">
        <v>8</v>
      </c>
      <c r="H61">
        <v>1</v>
      </c>
      <c r="I61" t="b">
        <v>0</v>
      </c>
      <c r="K61" t="b">
        <v>0</v>
      </c>
      <c r="L61" t="b">
        <v>0</v>
      </c>
      <c r="M61" t="str">
        <f>_xlfn.XLOOKUP(A61, hr_employee_dim!A:A, hr_employee_dim!B:B)</f>
        <v>Mahi Chawla</v>
      </c>
      <c r="N61" t="str">
        <f>_xlfn.XLOOKUP(A61, hr_employee_dim!A:A, hr_employee_dim!I:I)</f>
        <v>Finance</v>
      </c>
    </row>
    <row r="62" spans="1:14" x14ac:dyDescent="0.3">
      <c r="A62" t="s">
        <v>35</v>
      </c>
      <c r="B62" s="1">
        <v>45660</v>
      </c>
      <c r="C62" s="2">
        <v>45660.388888888891</v>
      </c>
      <c r="D62" s="2">
        <v>45660.763888888891</v>
      </c>
      <c r="E62">
        <v>9</v>
      </c>
      <c r="F62" t="s">
        <v>16</v>
      </c>
      <c r="G62">
        <v>8</v>
      </c>
      <c r="H62">
        <v>1</v>
      </c>
      <c r="I62" t="b">
        <v>0</v>
      </c>
      <c r="K62" t="b">
        <v>0</v>
      </c>
      <c r="L62" t="b">
        <v>0</v>
      </c>
      <c r="M62" t="str">
        <f>_xlfn.XLOOKUP(A62, hr_employee_dim!A:A, hr_employee_dim!B:B)</f>
        <v>Mahi Chawla</v>
      </c>
      <c r="N62" t="str">
        <f>_xlfn.XLOOKUP(A62, hr_employee_dim!A:A, hr_employee_dim!I:I)</f>
        <v>Finance</v>
      </c>
    </row>
    <row r="63" spans="1:14" x14ac:dyDescent="0.3">
      <c r="A63" t="s">
        <v>35</v>
      </c>
      <c r="B63" s="1">
        <v>45691</v>
      </c>
      <c r="C63" s="2">
        <v>45691.388888888891</v>
      </c>
      <c r="D63" s="2">
        <v>45691.763888888891</v>
      </c>
      <c r="E63">
        <v>9</v>
      </c>
      <c r="F63" t="s">
        <v>16</v>
      </c>
      <c r="G63">
        <v>8</v>
      </c>
      <c r="H63">
        <v>1</v>
      </c>
      <c r="I63" t="b">
        <v>0</v>
      </c>
      <c r="K63" t="b">
        <v>0</v>
      </c>
      <c r="L63" t="b">
        <v>0</v>
      </c>
      <c r="M63" t="str">
        <f>_xlfn.XLOOKUP(A63, hr_employee_dim!A:A, hr_employee_dim!B:B)</f>
        <v>Mahi Chawla</v>
      </c>
      <c r="N63" t="str">
        <f>_xlfn.XLOOKUP(A63, hr_employee_dim!A:A, hr_employee_dim!I:I)</f>
        <v>Finance</v>
      </c>
    </row>
    <row r="64" spans="1:14" x14ac:dyDescent="0.3">
      <c r="A64" t="s">
        <v>36</v>
      </c>
      <c r="B64" s="1">
        <v>45659</v>
      </c>
      <c r="C64" s="2">
        <v>45659.38958333333</v>
      </c>
      <c r="D64" s="2">
        <v>45659.76458333333</v>
      </c>
      <c r="E64">
        <v>9</v>
      </c>
      <c r="F64" t="s">
        <v>22</v>
      </c>
      <c r="G64">
        <v>8</v>
      </c>
      <c r="H64">
        <v>1</v>
      </c>
      <c r="I64" t="b">
        <v>0</v>
      </c>
      <c r="K64" t="b">
        <v>0</v>
      </c>
      <c r="L64" t="b">
        <v>0</v>
      </c>
      <c r="M64" t="str">
        <f>_xlfn.XLOOKUP(A64, hr_employee_dim!A:A, hr_employee_dim!B:B)</f>
        <v>Pranav Menon</v>
      </c>
      <c r="N64" t="str">
        <f>_xlfn.XLOOKUP(A64, hr_employee_dim!A:A, hr_employee_dim!I:I)</f>
        <v>IT Support</v>
      </c>
    </row>
    <row r="65" spans="1:14" x14ac:dyDescent="0.3">
      <c r="A65" t="s">
        <v>36</v>
      </c>
      <c r="B65" s="1">
        <v>45660</v>
      </c>
      <c r="C65" s="2">
        <v>45660.38958333333</v>
      </c>
      <c r="D65" s="2">
        <v>45660.76458333333</v>
      </c>
      <c r="E65">
        <v>9</v>
      </c>
      <c r="F65" t="s">
        <v>22</v>
      </c>
      <c r="G65">
        <v>8</v>
      </c>
      <c r="H65">
        <v>1</v>
      </c>
      <c r="I65" t="b">
        <v>0</v>
      </c>
      <c r="K65" t="b">
        <v>0</v>
      </c>
      <c r="L65" t="b">
        <v>0</v>
      </c>
      <c r="M65" t="str">
        <f>_xlfn.XLOOKUP(A65, hr_employee_dim!A:A, hr_employee_dim!B:B)</f>
        <v>Pranav Menon</v>
      </c>
      <c r="N65" t="str">
        <f>_xlfn.XLOOKUP(A65, hr_employee_dim!A:A, hr_employee_dim!I:I)</f>
        <v>IT Support</v>
      </c>
    </row>
    <row r="66" spans="1:14" x14ac:dyDescent="0.3">
      <c r="A66" t="s">
        <v>36</v>
      </c>
      <c r="B66" s="1">
        <v>45691</v>
      </c>
      <c r="C66" s="2">
        <v>45691.38958333333</v>
      </c>
      <c r="D66" s="2">
        <v>45691.76458333333</v>
      </c>
      <c r="E66">
        <v>9</v>
      </c>
      <c r="F66" t="s">
        <v>22</v>
      </c>
      <c r="G66">
        <v>8</v>
      </c>
      <c r="H66">
        <v>1</v>
      </c>
      <c r="I66" t="b">
        <v>0</v>
      </c>
      <c r="K66" t="b">
        <v>0</v>
      </c>
      <c r="L66" t="b">
        <v>0</v>
      </c>
      <c r="M66" t="str">
        <f>_xlfn.XLOOKUP(A66, hr_employee_dim!A:A, hr_employee_dim!B:B)</f>
        <v>Pranav Menon</v>
      </c>
      <c r="N66" t="str">
        <f>_xlfn.XLOOKUP(A66, hr_employee_dim!A:A, hr_employee_dim!I:I)</f>
        <v>IT Support</v>
      </c>
    </row>
    <row r="67" spans="1:14" x14ac:dyDescent="0.3">
      <c r="A67" t="s">
        <v>37</v>
      </c>
      <c r="B67" s="1">
        <v>45659</v>
      </c>
      <c r="C67" s="2">
        <v>45659.390277777777</v>
      </c>
      <c r="D67" s="2">
        <v>45659.765277777777</v>
      </c>
      <c r="E67">
        <v>9</v>
      </c>
      <c r="F67" t="s">
        <v>13</v>
      </c>
      <c r="G67">
        <v>8</v>
      </c>
      <c r="H67">
        <v>1</v>
      </c>
      <c r="I67" t="b">
        <v>0</v>
      </c>
      <c r="K67" t="b">
        <v>0</v>
      </c>
      <c r="L67" t="b">
        <v>0</v>
      </c>
      <c r="M67" t="str">
        <f>_xlfn.XLOOKUP(A67, hr_employee_dim!A:A, hr_employee_dim!B:B)</f>
        <v>Meera Joshi</v>
      </c>
      <c r="N67" t="str">
        <f>_xlfn.XLOOKUP(A67, hr_employee_dim!A:A, hr_employee_dim!I:I)</f>
        <v>Analytics</v>
      </c>
    </row>
    <row r="68" spans="1:14" x14ac:dyDescent="0.3">
      <c r="A68" t="s">
        <v>37</v>
      </c>
      <c r="B68" s="1">
        <v>45660</v>
      </c>
      <c r="C68" s="2">
        <v>45660.390277777777</v>
      </c>
      <c r="D68" s="2">
        <v>45660.765277777777</v>
      </c>
      <c r="E68">
        <v>9</v>
      </c>
      <c r="F68" t="s">
        <v>13</v>
      </c>
      <c r="G68">
        <v>8</v>
      </c>
      <c r="H68">
        <v>1</v>
      </c>
      <c r="I68" t="b">
        <v>0</v>
      </c>
      <c r="K68" t="b">
        <v>0</v>
      </c>
      <c r="L68" t="b">
        <v>0</v>
      </c>
      <c r="M68" t="str">
        <f>_xlfn.XLOOKUP(A68, hr_employee_dim!A:A, hr_employee_dim!B:B)</f>
        <v>Meera Joshi</v>
      </c>
      <c r="N68" t="str">
        <f>_xlfn.XLOOKUP(A68, hr_employee_dim!A:A, hr_employee_dim!I:I)</f>
        <v>Analytics</v>
      </c>
    </row>
    <row r="69" spans="1:14" x14ac:dyDescent="0.3">
      <c r="A69" t="s">
        <v>37</v>
      </c>
      <c r="B69" s="1">
        <v>45691</v>
      </c>
      <c r="C69" s="2">
        <v>45691.390277777777</v>
      </c>
      <c r="D69" s="2">
        <v>45691.765277777777</v>
      </c>
      <c r="E69">
        <v>9</v>
      </c>
      <c r="F69" t="s">
        <v>13</v>
      </c>
      <c r="G69">
        <v>8</v>
      </c>
      <c r="H69">
        <v>1</v>
      </c>
      <c r="I69" t="b">
        <v>0</v>
      </c>
      <c r="K69" t="b">
        <v>0</v>
      </c>
      <c r="L69" t="b">
        <v>0</v>
      </c>
      <c r="M69" t="str">
        <f>_xlfn.XLOOKUP(A69, hr_employee_dim!A:A, hr_employee_dim!B:B)</f>
        <v>Meera Joshi</v>
      </c>
      <c r="N69" t="str">
        <f>_xlfn.XLOOKUP(A69, hr_employee_dim!A:A, hr_employee_dim!I:I)</f>
        <v>Analytics</v>
      </c>
    </row>
    <row r="70" spans="1:14" x14ac:dyDescent="0.3">
      <c r="A70" t="s">
        <v>38</v>
      </c>
      <c r="B70" s="1">
        <v>45659</v>
      </c>
      <c r="C70" s="2">
        <v>45659.390972222223</v>
      </c>
      <c r="D70" s="2">
        <v>45659.765972222223</v>
      </c>
      <c r="E70">
        <v>9</v>
      </c>
      <c r="F70" t="s">
        <v>16</v>
      </c>
      <c r="G70">
        <v>8</v>
      </c>
      <c r="H70">
        <v>1</v>
      </c>
      <c r="I70" t="b">
        <v>0</v>
      </c>
      <c r="K70" t="b">
        <v>0</v>
      </c>
      <c r="L70" t="b">
        <v>0</v>
      </c>
      <c r="M70" t="str">
        <f>_xlfn.XLOOKUP(A70, hr_employee_dim!A:A, hr_employee_dim!B:B)</f>
        <v>Yash Garg</v>
      </c>
      <c r="N70" t="str">
        <f>_xlfn.XLOOKUP(A70, hr_employee_dim!A:A, hr_employee_dim!I:I)</f>
        <v>Human Resources</v>
      </c>
    </row>
    <row r="71" spans="1:14" x14ac:dyDescent="0.3">
      <c r="A71" t="s">
        <v>38</v>
      </c>
      <c r="B71" s="1">
        <v>45660</v>
      </c>
      <c r="C71" s="2">
        <v>45660.390972222223</v>
      </c>
      <c r="D71" s="2">
        <v>45660.765972222223</v>
      </c>
      <c r="E71">
        <v>9</v>
      </c>
      <c r="F71" t="s">
        <v>16</v>
      </c>
      <c r="G71">
        <v>8</v>
      </c>
      <c r="H71">
        <v>1</v>
      </c>
      <c r="I71" t="b">
        <v>0</v>
      </c>
      <c r="K71" t="b">
        <v>0</v>
      </c>
      <c r="L71" t="b">
        <v>0</v>
      </c>
      <c r="M71" t="str">
        <f>_xlfn.XLOOKUP(A71, hr_employee_dim!A:A, hr_employee_dim!B:B)</f>
        <v>Yash Garg</v>
      </c>
      <c r="N71" t="str">
        <f>_xlfn.XLOOKUP(A71, hr_employee_dim!A:A, hr_employee_dim!I:I)</f>
        <v>Human Resources</v>
      </c>
    </row>
    <row r="72" spans="1:14" x14ac:dyDescent="0.3">
      <c r="A72" t="s">
        <v>38</v>
      </c>
      <c r="B72" s="1">
        <v>45691</v>
      </c>
      <c r="C72" s="2">
        <v>45691.390972222223</v>
      </c>
      <c r="D72" s="2">
        <v>45691.765972222223</v>
      </c>
      <c r="E72">
        <v>9</v>
      </c>
      <c r="F72" t="s">
        <v>16</v>
      </c>
      <c r="G72">
        <v>8</v>
      </c>
      <c r="H72">
        <v>1</v>
      </c>
      <c r="I72" t="b">
        <v>0</v>
      </c>
      <c r="K72" t="b">
        <v>0</v>
      </c>
      <c r="L72" t="b">
        <v>0</v>
      </c>
      <c r="M72" t="str">
        <f>_xlfn.XLOOKUP(A72, hr_employee_dim!A:A, hr_employee_dim!B:B)</f>
        <v>Yash Garg</v>
      </c>
      <c r="N72" t="str">
        <f>_xlfn.XLOOKUP(A72, hr_employee_dim!A:A, hr_employee_dim!I:I)</f>
        <v>Human Resources</v>
      </c>
    </row>
    <row r="73" spans="1:14" x14ac:dyDescent="0.3">
      <c r="A73" t="s">
        <v>39</v>
      </c>
      <c r="B73" s="1">
        <v>45659</v>
      </c>
      <c r="C73" s="2">
        <v>45659.39166666667</v>
      </c>
      <c r="D73" s="2">
        <v>45659.76666666667</v>
      </c>
      <c r="E73">
        <v>9</v>
      </c>
      <c r="F73" t="s">
        <v>13</v>
      </c>
      <c r="G73">
        <v>8</v>
      </c>
      <c r="H73">
        <v>1</v>
      </c>
      <c r="I73" t="b">
        <v>0</v>
      </c>
      <c r="K73" t="b">
        <v>0</v>
      </c>
      <c r="L73" t="b">
        <v>0</v>
      </c>
      <c r="M73" t="str">
        <f>_xlfn.XLOOKUP(A73, hr_employee_dim!A:A, hr_employee_dim!B:B)</f>
        <v>Nikita Reddy</v>
      </c>
      <c r="N73" t="str">
        <f>_xlfn.XLOOKUP(A73, hr_employee_dim!A:A, hr_employee_dim!I:I)</f>
        <v>Engineering</v>
      </c>
    </row>
    <row r="74" spans="1:14" x14ac:dyDescent="0.3">
      <c r="A74" t="s">
        <v>39</v>
      </c>
      <c r="B74" s="1">
        <v>45660</v>
      </c>
      <c r="C74" s="2">
        <v>45660.39166666667</v>
      </c>
      <c r="D74" s="2">
        <v>45660.76666666667</v>
      </c>
      <c r="E74">
        <v>9</v>
      </c>
      <c r="F74" t="s">
        <v>13</v>
      </c>
      <c r="G74">
        <v>8</v>
      </c>
      <c r="H74">
        <v>1</v>
      </c>
      <c r="I74" t="b">
        <v>0</v>
      </c>
      <c r="K74" t="b">
        <v>0</v>
      </c>
      <c r="L74" t="b">
        <v>0</v>
      </c>
      <c r="M74" t="str">
        <f>_xlfn.XLOOKUP(A74, hr_employee_dim!A:A, hr_employee_dim!B:B)</f>
        <v>Nikita Reddy</v>
      </c>
      <c r="N74" t="str">
        <f>_xlfn.XLOOKUP(A74, hr_employee_dim!A:A, hr_employee_dim!I:I)</f>
        <v>Engineering</v>
      </c>
    </row>
    <row r="75" spans="1:14" x14ac:dyDescent="0.3">
      <c r="A75" t="s">
        <v>39</v>
      </c>
      <c r="B75" s="1">
        <v>45691</v>
      </c>
      <c r="C75" s="2">
        <v>45691.39166666667</v>
      </c>
      <c r="D75" s="2">
        <v>45691.76666666667</v>
      </c>
      <c r="E75">
        <v>9</v>
      </c>
      <c r="F75" t="s">
        <v>13</v>
      </c>
      <c r="G75">
        <v>8</v>
      </c>
      <c r="H75">
        <v>1</v>
      </c>
      <c r="I75" t="b">
        <v>0</v>
      </c>
      <c r="K75" t="b">
        <v>0</v>
      </c>
      <c r="L75" t="b">
        <v>0</v>
      </c>
      <c r="M75" t="str">
        <f>_xlfn.XLOOKUP(A75, hr_employee_dim!A:A, hr_employee_dim!B:B)</f>
        <v>Nikita Reddy</v>
      </c>
      <c r="N75" t="str">
        <f>_xlfn.XLOOKUP(A75, hr_employee_dim!A:A, hr_employee_dim!I:I)</f>
        <v>Engineering</v>
      </c>
    </row>
    <row r="76" spans="1:14" x14ac:dyDescent="0.3">
      <c r="A76" t="s">
        <v>40</v>
      </c>
      <c r="B76" s="1">
        <v>45659</v>
      </c>
      <c r="C76" s="2">
        <v>45659.392361111109</v>
      </c>
      <c r="D76" s="2">
        <v>45659.767361111109</v>
      </c>
      <c r="E76">
        <v>9</v>
      </c>
      <c r="F76" t="s">
        <v>16</v>
      </c>
      <c r="G76">
        <v>8</v>
      </c>
      <c r="H76">
        <v>1</v>
      </c>
      <c r="I76" t="b">
        <v>0</v>
      </c>
      <c r="K76" t="b">
        <v>0</v>
      </c>
      <c r="L76" t="b">
        <v>0</v>
      </c>
      <c r="M76" t="str">
        <f>_xlfn.XLOOKUP(A76, hr_employee_dim!A:A, hr_employee_dim!B:B)</f>
        <v>Amit Sinha</v>
      </c>
      <c r="N76" t="str">
        <f>_xlfn.XLOOKUP(A76, hr_employee_dim!A:A, hr_employee_dim!I:I)</f>
        <v>Finance</v>
      </c>
    </row>
    <row r="77" spans="1:14" x14ac:dyDescent="0.3">
      <c r="A77" t="s">
        <v>40</v>
      </c>
      <c r="B77" s="1">
        <v>45660</v>
      </c>
      <c r="C77" s="2">
        <v>45660.392361111109</v>
      </c>
      <c r="D77" s="2">
        <v>45660.767361111109</v>
      </c>
      <c r="E77">
        <v>9</v>
      </c>
      <c r="F77" t="s">
        <v>16</v>
      </c>
      <c r="G77">
        <v>8</v>
      </c>
      <c r="H77">
        <v>1</v>
      </c>
      <c r="I77" t="b">
        <v>0</v>
      </c>
      <c r="K77" t="b">
        <v>0</v>
      </c>
      <c r="L77" t="b">
        <v>0</v>
      </c>
      <c r="M77" t="str">
        <f>_xlfn.XLOOKUP(A77, hr_employee_dim!A:A, hr_employee_dim!B:B)</f>
        <v>Amit Sinha</v>
      </c>
      <c r="N77" t="str">
        <f>_xlfn.XLOOKUP(A77, hr_employee_dim!A:A, hr_employee_dim!I:I)</f>
        <v>Finance</v>
      </c>
    </row>
    <row r="78" spans="1:14" x14ac:dyDescent="0.3">
      <c r="A78" t="s">
        <v>40</v>
      </c>
      <c r="B78" s="1">
        <v>45691</v>
      </c>
      <c r="C78" s="2">
        <v>45691.392361111109</v>
      </c>
      <c r="D78" s="2">
        <v>45691.767361111109</v>
      </c>
      <c r="E78">
        <v>9</v>
      </c>
      <c r="F78" t="s">
        <v>16</v>
      </c>
      <c r="G78">
        <v>8</v>
      </c>
      <c r="H78">
        <v>1</v>
      </c>
      <c r="I78" t="b">
        <v>0</v>
      </c>
      <c r="K78" t="b">
        <v>0</v>
      </c>
      <c r="L78" t="b">
        <v>0</v>
      </c>
      <c r="M78" t="str">
        <f>_xlfn.XLOOKUP(A78, hr_employee_dim!A:A, hr_employee_dim!B:B)</f>
        <v>Amit Sinha</v>
      </c>
      <c r="N78" t="str">
        <f>_xlfn.XLOOKUP(A78, hr_employee_dim!A:A, hr_employee_dim!I:I)</f>
        <v>Finance</v>
      </c>
    </row>
    <row r="79" spans="1:14" x14ac:dyDescent="0.3">
      <c r="A79" t="s">
        <v>41</v>
      </c>
      <c r="B79" s="1">
        <v>45659</v>
      </c>
      <c r="C79" s="2">
        <v>45659.393055555556</v>
      </c>
      <c r="D79" s="2">
        <v>45659.768055555556</v>
      </c>
      <c r="E79">
        <v>9</v>
      </c>
      <c r="F79" t="s">
        <v>22</v>
      </c>
      <c r="G79">
        <v>8</v>
      </c>
      <c r="H79">
        <v>1</v>
      </c>
      <c r="I79" t="b">
        <v>0</v>
      </c>
      <c r="K79" t="b">
        <v>0</v>
      </c>
      <c r="L79" t="b">
        <v>0</v>
      </c>
      <c r="M79" t="str">
        <f>_xlfn.XLOOKUP(A79, hr_employee_dim!A:A, hr_employee_dim!B:B)</f>
        <v>Ritika Kapoor</v>
      </c>
      <c r="N79" t="str">
        <f>_xlfn.XLOOKUP(A79, hr_employee_dim!A:A, hr_employee_dim!I:I)</f>
        <v>IT Support</v>
      </c>
    </row>
    <row r="80" spans="1:14" x14ac:dyDescent="0.3">
      <c r="A80" t="s">
        <v>41</v>
      </c>
      <c r="B80" s="1">
        <v>45660</v>
      </c>
      <c r="C80" s="2">
        <v>45660.393055555556</v>
      </c>
      <c r="D80" s="2">
        <v>45660.768055555556</v>
      </c>
      <c r="E80">
        <v>9</v>
      </c>
      <c r="F80" t="s">
        <v>22</v>
      </c>
      <c r="G80">
        <v>8</v>
      </c>
      <c r="H80">
        <v>1</v>
      </c>
      <c r="I80" t="b">
        <v>0</v>
      </c>
      <c r="K80" t="b">
        <v>0</v>
      </c>
      <c r="L80" t="b">
        <v>0</v>
      </c>
      <c r="M80" t="str">
        <f>_xlfn.XLOOKUP(A80, hr_employee_dim!A:A, hr_employee_dim!B:B)</f>
        <v>Ritika Kapoor</v>
      </c>
      <c r="N80" t="str">
        <f>_xlfn.XLOOKUP(A80, hr_employee_dim!A:A, hr_employee_dim!I:I)</f>
        <v>IT Support</v>
      </c>
    </row>
    <row r="81" spans="1:14" x14ac:dyDescent="0.3">
      <c r="A81" t="s">
        <v>41</v>
      </c>
      <c r="B81" s="1">
        <v>45691</v>
      </c>
      <c r="C81" s="2">
        <v>45691.393055555556</v>
      </c>
      <c r="D81" s="2">
        <v>45691.768055555556</v>
      </c>
      <c r="E81">
        <v>9</v>
      </c>
      <c r="F81" t="s">
        <v>22</v>
      </c>
      <c r="G81">
        <v>8</v>
      </c>
      <c r="H81">
        <v>1</v>
      </c>
      <c r="I81" t="b">
        <v>0</v>
      </c>
      <c r="K81" t="b">
        <v>0</v>
      </c>
      <c r="L81" t="b">
        <v>0</v>
      </c>
      <c r="M81" t="str">
        <f>_xlfn.XLOOKUP(A81, hr_employee_dim!A:A, hr_employee_dim!B:B)</f>
        <v>Ritika Kapoor</v>
      </c>
      <c r="N81" t="str">
        <f>_xlfn.XLOOKUP(A81, hr_employee_dim!A:A, hr_employee_dim!I:I)</f>
        <v>IT Support</v>
      </c>
    </row>
    <row r="82" spans="1:14" x14ac:dyDescent="0.3">
      <c r="A82" t="s">
        <v>42</v>
      </c>
      <c r="B82" s="1">
        <v>45659</v>
      </c>
      <c r="C82" s="2">
        <v>45659.393750000003</v>
      </c>
      <c r="D82" s="2">
        <v>45659.768750000003</v>
      </c>
      <c r="E82">
        <v>9</v>
      </c>
      <c r="F82" t="s">
        <v>13</v>
      </c>
      <c r="G82">
        <v>8</v>
      </c>
      <c r="H82">
        <v>1</v>
      </c>
      <c r="I82" t="b">
        <v>0</v>
      </c>
      <c r="K82" t="b">
        <v>0</v>
      </c>
      <c r="L82" t="b">
        <v>0</v>
      </c>
      <c r="M82" t="str">
        <f>_xlfn.XLOOKUP(A82, hr_employee_dim!A:A, hr_employee_dim!B:B)</f>
        <v>Varun Saxena</v>
      </c>
      <c r="N82" t="str">
        <f>_xlfn.XLOOKUP(A82, hr_employee_dim!A:A, hr_employee_dim!I:I)</f>
        <v>Analytics</v>
      </c>
    </row>
    <row r="83" spans="1:14" x14ac:dyDescent="0.3">
      <c r="A83" t="s">
        <v>42</v>
      </c>
      <c r="B83" s="1">
        <v>45660</v>
      </c>
      <c r="C83" s="2">
        <v>45660.393750000003</v>
      </c>
      <c r="D83" s="2">
        <v>45660.768750000003</v>
      </c>
      <c r="E83">
        <v>9</v>
      </c>
      <c r="F83" t="s">
        <v>13</v>
      </c>
      <c r="G83">
        <v>8</v>
      </c>
      <c r="H83">
        <v>1</v>
      </c>
      <c r="I83" t="b">
        <v>0</v>
      </c>
      <c r="K83" t="b">
        <v>0</v>
      </c>
      <c r="L83" t="b">
        <v>0</v>
      </c>
      <c r="M83" t="str">
        <f>_xlfn.XLOOKUP(A83, hr_employee_dim!A:A, hr_employee_dim!B:B)</f>
        <v>Varun Saxena</v>
      </c>
      <c r="N83" t="str">
        <f>_xlfn.XLOOKUP(A83, hr_employee_dim!A:A, hr_employee_dim!I:I)</f>
        <v>Analytics</v>
      </c>
    </row>
    <row r="84" spans="1:14" x14ac:dyDescent="0.3">
      <c r="A84" t="s">
        <v>42</v>
      </c>
      <c r="B84" s="1">
        <v>45691</v>
      </c>
      <c r="C84" s="2">
        <v>45691.393750000003</v>
      </c>
      <c r="D84" s="2">
        <v>45691.768750000003</v>
      </c>
      <c r="E84">
        <v>9</v>
      </c>
      <c r="F84" t="s">
        <v>13</v>
      </c>
      <c r="G84">
        <v>8</v>
      </c>
      <c r="H84">
        <v>1</v>
      </c>
      <c r="I84" t="b">
        <v>0</v>
      </c>
      <c r="K84" t="b">
        <v>0</v>
      </c>
      <c r="L84" t="b">
        <v>0</v>
      </c>
      <c r="M84" t="str">
        <f>_xlfn.XLOOKUP(A84, hr_employee_dim!A:A, hr_employee_dim!B:B)</f>
        <v>Varun Saxena</v>
      </c>
      <c r="N84" t="str">
        <f>_xlfn.XLOOKUP(A84, hr_employee_dim!A:A, hr_employee_dim!I:I)</f>
        <v>Analytics</v>
      </c>
    </row>
    <row r="85" spans="1:14" x14ac:dyDescent="0.3">
      <c r="A85" t="s">
        <v>43</v>
      </c>
      <c r="B85" s="1">
        <v>45659</v>
      </c>
      <c r="C85" s="2">
        <v>45659.394444444442</v>
      </c>
      <c r="D85" s="2">
        <v>45659.769444444442</v>
      </c>
      <c r="E85">
        <v>9</v>
      </c>
      <c r="F85" t="s">
        <v>16</v>
      </c>
      <c r="G85">
        <v>8</v>
      </c>
      <c r="H85">
        <v>1</v>
      </c>
      <c r="I85" t="b">
        <v>0</v>
      </c>
      <c r="K85" t="b">
        <v>0</v>
      </c>
      <c r="L85" t="b">
        <v>0</v>
      </c>
      <c r="M85" t="str">
        <f>_xlfn.XLOOKUP(A85, hr_employee_dim!A:A, hr_employee_dim!B:B)</f>
        <v>Sara Khan</v>
      </c>
      <c r="N85" t="str">
        <f>_xlfn.XLOOKUP(A85, hr_employee_dim!A:A, hr_employee_dim!I:I)</f>
        <v>Human Resources</v>
      </c>
    </row>
    <row r="86" spans="1:14" x14ac:dyDescent="0.3">
      <c r="A86" t="s">
        <v>43</v>
      </c>
      <c r="B86" s="1">
        <v>45660</v>
      </c>
      <c r="C86" s="2">
        <v>45660.394444444442</v>
      </c>
      <c r="D86" s="2">
        <v>45660.769444444442</v>
      </c>
      <c r="E86">
        <v>9</v>
      </c>
      <c r="F86" t="s">
        <v>16</v>
      </c>
      <c r="G86">
        <v>8</v>
      </c>
      <c r="H86">
        <v>1</v>
      </c>
      <c r="I86" t="b">
        <v>0</v>
      </c>
      <c r="K86" t="b">
        <v>0</v>
      </c>
      <c r="L86" t="b">
        <v>0</v>
      </c>
      <c r="M86" t="str">
        <f>_xlfn.XLOOKUP(A86, hr_employee_dim!A:A, hr_employee_dim!B:B)</f>
        <v>Sara Khan</v>
      </c>
      <c r="N86" t="str">
        <f>_xlfn.XLOOKUP(A86, hr_employee_dim!A:A, hr_employee_dim!I:I)</f>
        <v>Human Resources</v>
      </c>
    </row>
    <row r="87" spans="1:14" x14ac:dyDescent="0.3">
      <c r="A87" t="s">
        <v>43</v>
      </c>
      <c r="B87" s="1">
        <v>45691</v>
      </c>
      <c r="C87" s="2">
        <v>45691.394444444442</v>
      </c>
      <c r="D87" s="2">
        <v>45691.769444444442</v>
      </c>
      <c r="E87">
        <v>9</v>
      </c>
      <c r="F87" t="s">
        <v>16</v>
      </c>
      <c r="G87">
        <v>8</v>
      </c>
      <c r="H87">
        <v>1</v>
      </c>
      <c r="I87" t="b">
        <v>0</v>
      </c>
      <c r="K87" t="b">
        <v>0</v>
      </c>
      <c r="L87" t="b">
        <v>0</v>
      </c>
      <c r="M87" t="str">
        <f>_xlfn.XLOOKUP(A87, hr_employee_dim!A:A, hr_employee_dim!B:B)</f>
        <v>Sara Khan</v>
      </c>
      <c r="N87" t="str">
        <f>_xlfn.XLOOKUP(A87, hr_employee_dim!A:A, hr_employee_dim!I:I)</f>
        <v>Human Resources</v>
      </c>
    </row>
    <row r="88" spans="1:14" x14ac:dyDescent="0.3">
      <c r="A88" t="s">
        <v>44</v>
      </c>
      <c r="B88" s="1">
        <v>45659</v>
      </c>
      <c r="C88" s="2">
        <v>45659.395138888889</v>
      </c>
      <c r="D88" s="2">
        <v>45659.770138888889</v>
      </c>
      <c r="E88">
        <v>9</v>
      </c>
      <c r="F88" t="s">
        <v>13</v>
      </c>
      <c r="G88">
        <v>8</v>
      </c>
      <c r="H88">
        <v>1</v>
      </c>
      <c r="I88" t="b">
        <v>0</v>
      </c>
      <c r="K88" t="b">
        <v>0</v>
      </c>
      <c r="L88" t="b">
        <v>0</v>
      </c>
      <c r="M88" t="str">
        <f>_xlfn.XLOOKUP(A88, hr_employee_dim!A:A, hr_employee_dim!B:B)</f>
        <v>Deepak Talwar</v>
      </c>
      <c r="N88" t="str">
        <f>_xlfn.XLOOKUP(A88, hr_employee_dim!A:A, hr_employee_dim!I:I)</f>
        <v>Engineering</v>
      </c>
    </row>
    <row r="89" spans="1:14" x14ac:dyDescent="0.3">
      <c r="A89" t="s">
        <v>44</v>
      </c>
      <c r="B89" s="1">
        <v>45660</v>
      </c>
      <c r="C89" s="2">
        <v>45660.395138888889</v>
      </c>
      <c r="D89" s="2">
        <v>45660.770138888889</v>
      </c>
      <c r="E89">
        <v>9</v>
      </c>
      <c r="F89" t="s">
        <v>13</v>
      </c>
      <c r="G89">
        <v>8</v>
      </c>
      <c r="H89">
        <v>1</v>
      </c>
      <c r="I89" t="b">
        <v>0</v>
      </c>
      <c r="K89" t="b">
        <v>0</v>
      </c>
      <c r="L89" t="b">
        <v>0</v>
      </c>
      <c r="M89" t="str">
        <f>_xlfn.XLOOKUP(A89, hr_employee_dim!A:A, hr_employee_dim!B:B)</f>
        <v>Deepak Talwar</v>
      </c>
      <c r="N89" t="str">
        <f>_xlfn.XLOOKUP(A89, hr_employee_dim!A:A, hr_employee_dim!I:I)</f>
        <v>Engineering</v>
      </c>
    </row>
    <row r="90" spans="1:14" x14ac:dyDescent="0.3">
      <c r="A90" t="s">
        <v>44</v>
      </c>
      <c r="B90" s="1">
        <v>45691</v>
      </c>
      <c r="C90" s="2">
        <v>45691.395138888889</v>
      </c>
      <c r="D90" s="2">
        <v>45691.770138888889</v>
      </c>
      <c r="E90">
        <v>9</v>
      </c>
      <c r="F90" t="s">
        <v>13</v>
      </c>
      <c r="G90">
        <v>8</v>
      </c>
      <c r="H90">
        <v>1</v>
      </c>
      <c r="I90" t="b">
        <v>0</v>
      </c>
      <c r="K90" t="b">
        <v>0</v>
      </c>
      <c r="L90" t="b">
        <v>0</v>
      </c>
      <c r="M90" t="str">
        <f>_xlfn.XLOOKUP(A90, hr_employee_dim!A:A, hr_employee_dim!B:B)</f>
        <v>Deepak Talwar</v>
      </c>
      <c r="N90" t="str">
        <f>_xlfn.XLOOKUP(A90, hr_employee_dim!A:A, hr_employee_dim!I:I)</f>
        <v>Engineering</v>
      </c>
    </row>
    <row r="91" spans="1:14" x14ac:dyDescent="0.3">
      <c r="A91" t="s">
        <v>45</v>
      </c>
      <c r="B91" s="1">
        <v>45659</v>
      </c>
      <c r="C91" s="2">
        <v>45659.395833333336</v>
      </c>
      <c r="D91" s="2">
        <v>45659.770833333336</v>
      </c>
      <c r="E91">
        <v>9</v>
      </c>
      <c r="F91" t="s">
        <v>16</v>
      </c>
      <c r="G91">
        <v>8</v>
      </c>
      <c r="H91">
        <v>1</v>
      </c>
      <c r="I91" t="b">
        <v>0</v>
      </c>
      <c r="K91" t="b">
        <v>0</v>
      </c>
      <c r="L91" t="b">
        <v>0</v>
      </c>
      <c r="M91" t="str">
        <f>_xlfn.XLOOKUP(A91, hr_employee_dim!A:A, hr_employee_dim!B:B)</f>
        <v>Karishma Paul</v>
      </c>
      <c r="N91" t="str">
        <f>_xlfn.XLOOKUP(A91, hr_employee_dim!A:A, hr_employee_dim!I:I)</f>
        <v>Finance</v>
      </c>
    </row>
    <row r="92" spans="1:14" x14ac:dyDescent="0.3">
      <c r="A92" t="s">
        <v>45</v>
      </c>
      <c r="B92" s="1">
        <v>45660</v>
      </c>
      <c r="C92" s="2">
        <v>45660.395833333336</v>
      </c>
      <c r="D92" s="2">
        <v>45660.770833333336</v>
      </c>
      <c r="E92">
        <v>9</v>
      </c>
      <c r="F92" t="s">
        <v>16</v>
      </c>
      <c r="G92">
        <v>8</v>
      </c>
      <c r="H92">
        <v>1</v>
      </c>
      <c r="I92" t="b">
        <v>0</v>
      </c>
      <c r="K92" t="b">
        <v>0</v>
      </c>
      <c r="L92" t="b">
        <v>0</v>
      </c>
      <c r="M92" t="str">
        <f>_xlfn.XLOOKUP(A92, hr_employee_dim!A:A, hr_employee_dim!B:B)</f>
        <v>Karishma Paul</v>
      </c>
      <c r="N92" t="str">
        <f>_xlfn.XLOOKUP(A92, hr_employee_dim!A:A, hr_employee_dim!I:I)</f>
        <v>Finance</v>
      </c>
    </row>
    <row r="93" spans="1:14" x14ac:dyDescent="0.3">
      <c r="A93" t="s">
        <v>45</v>
      </c>
      <c r="B93" s="1">
        <v>45691</v>
      </c>
      <c r="C93" s="2">
        <v>45691.395833333336</v>
      </c>
      <c r="D93" s="2">
        <v>45691.770833333336</v>
      </c>
      <c r="E93">
        <v>9</v>
      </c>
      <c r="F93" t="s">
        <v>16</v>
      </c>
      <c r="G93">
        <v>8</v>
      </c>
      <c r="H93">
        <v>1</v>
      </c>
      <c r="I93" t="b">
        <v>0</v>
      </c>
      <c r="K93" t="b">
        <v>0</v>
      </c>
      <c r="L93" t="b">
        <v>0</v>
      </c>
      <c r="M93" t="str">
        <f>_xlfn.XLOOKUP(A93, hr_employee_dim!A:A, hr_employee_dim!B:B)</f>
        <v>Karishma Paul</v>
      </c>
      <c r="N93" t="str">
        <f>_xlfn.XLOOKUP(A93, hr_employee_dim!A:A, hr_employee_dim!I:I)</f>
        <v>Finance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BA84E-1277-4BAF-B910-D8E536F3E1A7}">
  <dimension ref="A1:J31"/>
  <sheetViews>
    <sheetView workbookViewId="0">
      <selection activeCell="M11" sqref="M11"/>
    </sheetView>
  </sheetViews>
  <sheetFormatPr defaultRowHeight="14.4" x14ac:dyDescent="0.3"/>
  <cols>
    <col min="1" max="1" width="11.44140625" bestFit="1" customWidth="1"/>
    <col min="2" max="2" width="13.21875" bestFit="1" customWidth="1"/>
    <col min="3" max="3" width="10.33203125" bestFit="1" customWidth="1"/>
    <col min="4" max="4" width="15.33203125" bestFit="1" customWidth="1"/>
    <col min="5" max="5" width="13.109375" bestFit="1" customWidth="1"/>
    <col min="6" max="6" width="21.77734375" bestFit="1" customWidth="1"/>
    <col min="7" max="7" width="12.109375" bestFit="1" customWidth="1"/>
    <col min="8" max="8" width="7" bestFit="1" customWidth="1"/>
    <col min="9" max="9" width="16.21875" bestFit="1" customWidth="1"/>
    <col min="10" max="10" width="10.5546875" bestFit="1" customWidth="1"/>
  </cols>
  <sheetData>
    <row r="1" spans="1:10" x14ac:dyDescent="0.3">
      <c r="A1" t="s">
        <v>0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</v>
      </c>
      <c r="I1" t="s">
        <v>52</v>
      </c>
      <c r="J1" t="s">
        <v>53</v>
      </c>
    </row>
    <row r="2" spans="1:10" x14ac:dyDescent="0.3">
      <c r="A2" t="s">
        <v>12</v>
      </c>
      <c r="B2" t="s">
        <v>54</v>
      </c>
      <c r="C2" s="1">
        <v>44967</v>
      </c>
      <c r="E2" t="s">
        <v>55</v>
      </c>
      <c r="F2" t="s">
        <v>56</v>
      </c>
      <c r="G2" t="s">
        <v>57</v>
      </c>
      <c r="H2" t="s">
        <v>13</v>
      </c>
      <c r="I2" t="s">
        <v>58</v>
      </c>
      <c r="J2" t="s">
        <v>42</v>
      </c>
    </row>
    <row r="3" spans="1:10" x14ac:dyDescent="0.3">
      <c r="A3" t="s">
        <v>14</v>
      </c>
      <c r="B3" t="s">
        <v>59</v>
      </c>
      <c r="C3" s="1">
        <v>44870</v>
      </c>
      <c r="E3" t="s">
        <v>55</v>
      </c>
      <c r="F3" t="s">
        <v>60</v>
      </c>
      <c r="G3" t="s">
        <v>61</v>
      </c>
      <c r="H3" t="s">
        <v>13</v>
      </c>
      <c r="I3" t="s">
        <v>58</v>
      </c>
      <c r="J3" t="s">
        <v>42</v>
      </c>
    </row>
    <row r="4" spans="1:10" x14ac:dyDescent="0.3">
      <c r="A4" t="s">
        <v>15</v>
      </c>
      <c r="B4" t="s">
        <v>62</v>
      </c>
      <c r="C4" s="1">
        <v>45306</v>
      </c>
      <c r="E4" t="s">
        <v>63</v>
      </c>
      <c r="F4" t="s">
        <v>64</v>
      </c>
      <c r="G4" t="s">
        <v>65</v>
      </c>
      <c r="H4" t="s">
        <v>16</v>
      </c>
      <c r="I4" t="s">
        <v>66</v>
      </c>
      <c r="J4" t="s">
        <v>24</v>
      </c>
    </row>
    <row r="5" spans="1:10" x14ac:dyDescent="0.3">
      <c r="A5" t="s">
        <v>17</v>
      </c>
      <c r="B5" t="s">
        <v>67</v>
      </c>
      <c r="C5" s="1">
        <v>44397</v>
      </c>
      <c r="E5" t="s">
        <v>68</v>
      </c>
      <c r="F5" t="s">
        <v>69</v>
      </c>
      <c r="G5" t="s">
        <v>57</v>
      </c>
      <c r="H5" t="s">
        <v>13</v>
      </c>
      <c r="I5" t="s">
        <v>70</v>
      </c>
      <c r="J5" t="s">
        <v>29</v>
      </c>
    </row>
    <row r="6" spans="1:10" x14ac:dyDescent="0.3">
      <c r="A6" t="s">
        <v>18</v>
      </c>
      <c r="B6" t="s">
        <v>71</v>
      </c>
      <c r="C6" s="1">
        <v>44105</v>
      </c>
      <c r="E6" t="s">
        <v>68</v>
      </c>
      <c r="F6" t="s">
        <v>72</v>
      </c>
      <c r="G6" t="s">
        <v>73</v>
      </c>
      <c r="H6" t="s">
        <v>13</v>
      </c>
      <c r="I6" t="s">
        <v>70</v>
      </c>
      <c r="J6" t="s">
        <v>29</v>
      </c>
    </row>
    <row r="7" spans="1:10" x14ac:dyDescent="0.3">
      <c r="A7" t="s">
        <v>19</v>
      </c>
      <c r="B7" t="s">
        <v>74</v>
      </c>
      <c r="C7" s="1">
        <v>45095</v>
      </c>
      <c r="E7" t="s">
        <v>75</v>
      </c>
      <c r="F7" t="s">
        <v>76</v>
      </c>
      <c r="G7" t="s">
        <v>57</v>
      </c>
      <c r="H7" t="s">
        <v>16</v>
      </c>
      <c r="I7" t="s">
        <v>77</v>
      </c>
      <c r="J7" t="s">
        <v>20</v>
      </c>
    </row>
    <row r="8" spans="1:10" x14ac:dyDescent="0.3">
      <c r="A8" t="s">
        <v>20</v>
      </c>
      <c r="B8" t="s">
        <v>78</v>
      </c>
      <c r="C8" s="1">
        <v>44642</v>
      </c>
      <c r="E8" t="s">
        <v>75</v>
      </c>
      <c r="F8" t="s">
        <v>79</v>
      </c>
      <c r="G8" t="s">
        <v>73</v>
      </c>
      <c r="H8" t="s">
        <v>16</v>
      </c>
      <c r="I8" t="s">
        <v>77</v>
      </c>
      <c r="J8" t="s">
        <v>20</v>
      </c>
    </row>
    <row r="9" spans="1:10" x14ac:dyDescent="0.3">
      <c r="A9" t="s">
        <v>21</v>
      </c>
      <c r="B9" t="s">
        <v>80</v>
      </c>
      <c r="C9" s="1">
        <v>45421</v>
      </c>
      <c r="E9" t="s">
        <v>81</v>
      </c>
      <c r="F9" t="s">
        <v>82</v>
      </c>
      <c r="G9" t="s">
        <v>65</v>
      </c>
      <c r="H9" t="s">
        <v>22</v>
      </c>
      <c r="I9" t="s">
        <v>83</v>
      </c>
      <c r="J9" t="s">
        <v>23</v>
      </c>
    </row>
    <row r="10" spans="1:10" x14ac:dyDescent="0.3">
      <c r="A10" t="s">
        <v>23</v>
      </c>
      <c r="B10" t="s">
        <v>84</v>
      </c>
      <c r="C10" s="1">
        <v>45180</v>
      </c>
      <c r="E10" t="s">
        <v>81</v>
      </c>
      <c r="F10" t="s">
        <v>85</v>
      </c>
      <c r="G10" t="s">
        <v>57</v>
      </c>
      <c r="H10" t="s">
        <v>22</v>
      </c>
      <c r="I10" t="s">
        <v>83</v>
      </c>
      <c r="J10" t="s">
        <v>23</v>
      </c>
    </row>
    <row r="11" spans="1:10" x14ac:dyDescent="0.3">
      <c r="A11" t="s">
        <v>24</v>
      </c>
      <c r="B11" t="s">
        <v>86</v>
      </c>
      <c r="C11" s="1">
        <v>44896</v>
      </c>
      <c r="E11" t="s">
        <v>63</v>
      </c>
      <c r="F11" t="s">
        <v>87</v>
      </c>
      <c r="G11" t="s">
        <v>61</v>
      </c>
      <c r="H11" t="s">
        <v>16</v>
      </c>
      <c r="I11" t="s">
        <v>66</v>
      </c>
      <c r="J11" t="s">
        <v>24</v>
      </c>
    </row>
    <row r="12" spans="1:10" x14ac:dyDescent="0.3">
      <c r="A12" t="s">
        <v>25</v>
      </c>
      <c r="B12" t="s">
        <v>88</v>
      </c>
      <c r="C12" s="1">
        <v>44201</v>
      </c>
      <c r="E12" t="s">
        <v>55</v>
      </c>
      <c r="F12" t="s">
        <v>89</v>
      </c>
      <c r="G12" t="s">
        <v>57</v>
      </c>
      <c r="H12" t="s">
        <v>13</v>
      </c>
      <c r="I12" t="s">
        <v>58</v>
      </c>
      <c r="J12" t="s">
        <v>42</v>
      </c>
    </row>
    <row r="13" spans="1:10" x14ac:dyDescent="0.3">
      <c r="A13" t="s">
        <v>26</v>
      </c>
      <c r="B13" t="s">
        <v>90</v>
      </c>
      <c r="C13" s="1">
        <v>45030</v>
      </c>
      <c r="E13" t="s">
        <v>68</v>
      </c>
      <c r="F13" t="s">
        <v>91</v>
      </c>
      <c r="G13" t="s">
        <v>65</v>
      </c>
      <c r="H13" t="s">
        <v>13</v>
      </c>
      <c r="I13" t="s">
        <v>70</v>
      </c>
      <c r="J13" t="s">
        <v>29</v>
      </c>
    </row>
    <row r="14" spans="1:10" x14ac:dyDescent="0.3">
      <c r="A14" t="s">
        <v>27</v>
      </c>
      <c r="B14" t="s">
        <v>92</v>
      </c>
      <c r="C14" s="1">
        <v>45323</v>
      </c>
      <c r="E14" t="s">
        <v>55</v>
      </c>
      <c r="F14" t="s">
        <v>93</v>
      </c>
      <c r="G14" t="s">
        <v>57</v>
      </c>
      <c r="H14" t="s">
        <v>13</v>
      </c>
      <c r="I14" t="s">
        <v>58</v>
      </c>
      <c r="J14" t="s">
        <v>42</v>
      </c>
    </row>
    <row r="15" spans="1:10" x14ac:dyDescent="0.3">
      <c r="A15" t="s">
        <v>28</v>
      </c>
      <c r="B15" t="s">
        <v>94</v>
      </c>
      <c r="C15" s="1">
        <v>44104</v>
      </c>
      <c r="E15" t="s">
        <v>75</v>
      </c>
      <c r="F15" t="s">
        <v>95</v>
      </c>
      <c r="G15" t="s">
        <v>61</v>
      </c>
      <c r="H15" t="s">
        <v>16</v>
      </c>
      <c r="I15" t="s">
        <v>77</v>
      </c>
      <c r="J15" t="s">
        <v>20</v>
      </c>
    </row>
    <row r="16" spans="1:10" x14ac:dyDescent="0.3">
      <c r="A16" t="s">
        <v>29</v>
      </c>
      <c r="B16" t="s">
        <v>96</v>
      </c>
      <c r="C16" s="1">
        <v>43628</v>
      </c>
      <c r="E16" t="s">
        <v>68</v>
      </c>
      <c r="F16" t="s">
        <v>97</v>
      </c>
      <c r="G16" t="s">
        <v>98</v>
      </c>
      <c r="H16" t="s">
        <v>13</v>
      </c>
      <c r="I16" t="s">
        <v>70</v>
      </c>
      <c r="J16" t="s">
        <v>29</v>
      </c>
    </row>
    <row r="17" spans="1:10" x14ac:dyDescent="0.3">
      <c r="A17" t="s">
        <v>31</v>
      </c>
      <c r="B17" t="s">
        <v>99</v>
      </c>
      <c r="C17" s="1">
        <v>45163</v>
      </c>
      <c r="E17" t="s">
        <v>81</v>
      </c>
      <c r="F17" t="s">
        <v>100</v>
      </c>
      <c r="G17" t="s">
        <v>101</v>
      </c>
      <c r="H17" t="s">
        <v>22</v>
      </c>
      <c r="I17" t="s">
        <v>83</v>
      </c>
      <c r="J17" t="s">
        <v>23</v>
      </c>
    </row>
    <row r="18" spans="1:10" x14ac:dyDescent="0.3">
      <c r="A18" t="s">
        <v>32</v>
      </c>
      <c r="B18" t="s">
        <v>102</v>
      </c>
      <c r="C18" s="1">
        <v>44700</v>
      </c>
      <c r="E18" t="s">
        <v>63</v>
      </c>
      <c r="F18" t="s">
        <v>103</v>
      </c>
      <c r="G18" t="s">
        <v>65</v>
      </c>
      <c r="H18" t="s">
        <v>16</v>
      </c>
      <c r="I18" t="s">
        <v>66</v>
      </c>
      <c r="J18" t="s">
        <v>24</v>
      </c>
    </row>
    <row r="19" spans="1:10" x14ac:dyDescent="0.3">
      <c r="A19" t="s">
        <v>33</v>
      </c>
      <c r="B19" t="s">
        <v>104</v>
      </c>
      <c r="C19" s="1">
        <v>45356</v>
      </c>
      <c r="E19" t="s">
        <v>55</v>
      </c>
      <c r="F19" t="s">
        <v>105</v>
      </c>
      <c r="G19" t="s">
        <v>101</v>
      </c>
      <c r="H19" t="s">
        <v>13</v>
      </c>
      <c r="I19" t="s">
        <v>58</v>
      </c>
      <c r="J19" t="s">
        <v>42</v>
      </c>
    </row>
    <row r="20" spans="1:10" x14ac:dyDescent="0.3">
      <c r="A20" t="s">
        <v>34</v>
      </c>
      <c r="B20" t="s">
        <v>106</v>
      </c>
      <c r="C20" s="1">
        <v>44523</v>
      </c>
      <c r="E20" t="s">
        <v>68</v>
      </c>
      <c r="F20" t="s">
        <v>107</v>
      </c>
      <c r="G20" t="s">
        <v>57</v>
      </c>
      <c r="H20" t="s">
        <v>13</v>
      </c>
      <c r="I20" t="s">
        <v>70</v>
      </c>
      <c r="J20" t="s">
        <v>29</v>
      </c>
    </row>
    <row r="21" spans="1:10" x14ac:dyDescent="0.3">
      <c r="A21" t="s">
        <v>35</v>
      </c>
      <c r="B21" t="s">
        <v>108</v>
      </c>
      <c r="C21" s="1">
        <v>44655</v>
      </c>
      <c r="E21" t="s">
        <v>75</v>
      </c>
      <c r="F21" t="s">
        <v>109</v>
      </c>
      <c r="G21" t="s">
        <v>57</v>
      </c>
      <c r="H21" t="s">
        <v>16</v>
      </c>
      <c r="I21" t="s">
        <v>77</v>
      </c>
      <c r="J21" t="s">
        <v>20</v>
      </c>
    </row>
    <row r="22" spans="1:10" x14ac:dyDescent="0.3">
      <c r="A22" t="s">
        <v>36</v>
      </c>
      <c r="B22" t="s">
        <v>110</v>
      </c>
      <c r="C22" s="1">
        <v>43878</v>
      </c>
      <c r="E22" t="s">
        <v>81</v>
      </c>
      <c r="F22" t="s">
        <v>111</v>
      </c>
      <c r="G22" t="s">
        <v>57</v>
      </c>
      <c r="H22" t="s">
        <v>22</v>
      </c>
      <c r="I22" t="s">
        <v>83</v>
      </c>
      <c r="J22" t="s">
        <v>23</v>
      </c>
    </row>
    <row r="23" spans="1:10" x14ac:dyDescent="0.3">
      <c r="A23" t="s">
        <v>37</v>
      </c>
      <c r="B23" t="s">
        <v>112</v>
      </c>
      <c r="C23" s="1">
        <v>43808</v>
      </c>
      <c r="E23" t="s">
        <v>55</v>
      </c>
      <c r="F23" t="s">
        <v>113</v>
      </c>
      <c r="G23" t="s">
        <v>57</v>
      </c>
      <c r="H23" t="s">
        <v>13</v>
      </c>
      <c r="I23" t="s">
        <v>58</v>
      </c>
      <c r="J23" t="s">
        <v>42</v>
      </c>
    </row>
    <row r="24" spans="1:10" x14ac:dyDescent="0.3">
      <c r="A24" t="s">
        <v>38</v>
      </c>
      <c r="B24" t="s">
        <v>114</v>
      </c>
      <c r="C24" s="1">
        <v>45219</v>
      </c>
      <c r="E24" t="s">
        <v>63</v>
      </c>
      <c r="F24" t="s">
        <v>115</v>
      </c>
      <c r="G24" t="s">
        <v>65</v>
      </c>
      <c r="H24" t="s">
        <v>16</v>
      </c>
      <c r="I24" t="s">
        <v>66</v>
      </c>
      <c r="J24" t="s">
        <v>24</v>
      </c>
    </row>
    <row r="25" spans="1:10" x14ac:dyDescent="0.3">
      <c r="A25" t="s">
        <v>39</v>
      </c>
      <c r="B25" t="s">
        <v>116</v>
      </c>
      <c r="C25" s="1">
        <v>44817</v>
      </c>
      <c r="E25" t="s">
        <v>68</v>
      </c>
      <c r="F25" t="s">
        <v>117</v>
      </c>
      <c r="G25" t="s">
        <v>57</v>
      </c>
      <c r="H25" t="s">
        <v>13</v>
      </c>
      <c r="I25" t="s">
        <v>70</v>
      </c>
      <c r="J25" t="s">
        <v>29</v>
      </c>
    </row>
    <row r="26" spans="1:10" x14ac:dyDescent="0.3">
      <c r="A26" t="s">
        <v>40</v>
      </c>
      <c r="B26" t="s">
        <v>118</v>
      </c>
      <c r="C26" s="1">
        <v>44282</v>
      </c>
      <c r="E26" t="s">
        <v>75</v>
      </c>
      <c r="F26" t="s">
        <v>119</v>
      </c>
      <c r="G26" t="s">
        <v>57</v>
      </c>
      <c r="H26" t="s">
        <v>16</v>
      </c>
      <c r="I26" t="s">
        <v>77</v>
      </c>
      <c r="J26" t="s">
        <v>20</v>
      </c>
    </row>
    <row r="27" spans="1:10" x14ac:dyDescent="0.3">
      <c r="A27" t="s">
        <v>41</v>
      </c>
      <c r="B27" t="s">
        <v>120</v>
      </c>
      <c r="C27" s="1">
        <v>45301</v>
      </c>
      <c r="E27" t="s">
        <v>81</v>
      </c>
      <c r="F27" t="s">
        <v>121</v>
      </c>
      <c r="G27" t="s">
        <v>65</v>
      </c>
      <c r="H27" t="s">
        <v>22</v>
      </c>
      <c r="I27" t="s">
        <v>83</v>
      </c>
      <c r="J27" t="s">
        <v>23</v>
      </c>
    </row>
    <row r="28" spans="1:10" x14ac:dyDescent="0.3">
      <c r="A28" t="s">
        <v>42</v>
      </c>
      <c r="B28" t="s">
        <v>122</v>
      </c>
      <c r="C28" s="1">
        <v>44061</v>
      </c>
      <c r="E28" t="s">
        <v>55</v>
      </c>
      <c r="F28" t="s">
        <v>123</v>
      </c>
      <c r="G28" t="s">
        <v>73</v>
      </c>
      <c r="H28" t="s">
        <v>13</v>
      </c>
      <c r="I28" t="s">
        <v>58</v>
      </c>
      <c r="J28" t="s">
        <v>42</v>
      </c>
    </row>
    <row r="29" spans="1:10" x14ac:dyDescent="0.3">
      <c r="A29" t="s">
        <v>43</v>
      </c>
      <c r="B29" t="s">
        <v>124</v>
      </c>
      <c r="C29" s="1">
        <v>44956</v>
      </c>
      <c r="E29" t="s">
        <v>63</v>
      </c>
      <c r="F29" t="s">
        <v>125</v>
      </c>
      <c r="G29" t="s">
        <v>101</v>
      </c>
      <c r="H29" t="s">
        <v>16</v>
      </c>
      <c r="I29" t="s">
        <v>66</v>
      </c>
      <c r="J29" t="s">
        <v>24</v>
      </c>
    </row>
    <row r="30" spans="1:10" x14ac:dyDescent="0.3">
      <c r="A30" t="s">
        <v>44</v>
      </c>
      <c r="B30" t="s">
        <v>126</v>
      </c>
      <c r="C30" s="1">
        <v>44445</v>
      </c>
      <c r="E30" t="s">
        <v>68</v>
      </c>
      <c r="F30" t="s">
        <v>127</v>
      </c>
      <c r="G30" t="s">
        <v>57</v>
      </c>
      <c r="H30" t="s">
        <v>13</v>
      </c>
      <c r="I30" t="s">
        <v>70</v>
      </c>
      <c r="J30" t="s">
        <v>29</v>
      </c>
    </row>
    <row r="31" spans="1:10" x14ac:dyDescent="0.3">
      <c r="A31" t="s">
        <v>45</v>
      </c>
      <c r="B31" t="s">
        <v>128</v>
      </c>
      <c r="C31" s="1">
        <v>44613</v>
      </c>
      <c r="E31" t="s">
        <v>75</v>
      </c>
      <c r="F31" t="s">
        <v>129</v>
      </c>
      <c r="G31" t="s">
        <v>57</v>
      </c>
      <c r="H31" t="s">
        <v>16</v>
      </c>
      <c r="I31" t="s">
        <v>77</v>
      </c>
      <c r="J31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A5B86-4A07-4CD1-8E64-EAB2A3AC0CC1}">
  <dimension ref="A3:B64"/>
  <sheetViews>
    <sheetView workbookViewId="0">
      <selection activeCell="C5" sqref="C5"/>
    </sheetView>
  </sheetViews>
  <sheetFormatPr defaultRowHeight="14.4" x14ac:dyDescent="0.3"/>
  <cols>
    <col min="1" max="1" width="17.21875" bestFit="1" customWidth="1"/>
    <col min="2" max="2" width="19.77734375" bestFit="1" customWidth="1"/>
    <col min="3" max="3" width="12.6640625" bestFit="1" customWidth="1"/>
    <col min="4" max="4" width="10.109375" bestFit="1" customWidth="1"/>
    <col min="5" max="5" width="12.5546875" bestFit="1" customWidth="1"/>
    <col min="6" max="6" width="11.6640625" bestFit="1" customWidth="1"/>
    <col min="7" max="7" width="13.44140625" bestFit="1" customWidth="1"/>
    <col min="8" max="8" width="10.6640625" bestFit="1" customWidth="1"/>
    <col min="9" max="9" width="13.5546875" bestFit="1" customWidth="1"/>
    <col min="10" max="10" width="8.33203125" bestFit="1" customWidth="1"/>
    <col min="11" max="11" width="12.88671875" bestFit="1" customWidth="1"/>
    <col min="12" max="12" width="11.88671875" bestFit="1" customWidth="1"/>
    <col min="13" max="13" width="10.44140625" bestFit="1" customWidth="1"/>
    <col min="14" max="14" width="11.88671875" bestFit="1" customWidth="1"/>
    <col min="15" max="15" width="13.33203125" bestFit="1" customWidth="1"/>
    <col min="16" max="17" width="11" bestFit="1" customWidth="1"/>
    <col min="18" max="18" width="11.6640625" bestFit="1" customWidth="1"/>
    <col min="19" max="19" width="10.77734375" bestFit="1" customWidth="1"/>
    <col min="20" max="20" width="13.5546875" bestFit="1" customWidth="1"/>
    <col min="21" max="21" width="12" bestFit="1" customWidth="1"/>
    <col min="22" max="22" width="12.21875" bestFit="1" customWidth="1"/>
    <col min="23" max="23" width="9.88671875" bestFit="1" customWidth="1"/>
    <col min="24" max="24" width="9.44140625" bestFit="1" customWidth="1"/>
    <col min="25" max="25" width="10.44140625" bestFit="1" customWidth="1"/>
    <col min="26" max="26" width="12.88671875" bestFit="1" customWidth="1"/>
    <col min="27" max="27" width="13.6640625" bestFit="1" customWidth="1"/>
    <col min="28" max="28" width="10" bestFit="1" customWidth="1"/>
    <col min="29" max="29" width="12.5546875" bestFit="1" customWidth="1"/>
    <col min="30" max="30" width="12" bestFit="1" customWidth="1"/>
    <col min="31" max="31" width="9.21875" bestFit="1" customWidth="1"/>
    <col min="32" max="32" width="12" bestFit="1" customWidth="1"/>
  </cols>
  <sheetData>
    <row r="3" spans="1:2" x14ac:dyDescent="0.3">
      <c r="A3" s="3" t="s">
        <v>130</v>
      </c>
      <c r="B3" t="s">
        <v>132</v>
      </c>
    </row>
    <row r="4" spans="1:2" x14ac:dyDescent="0.3">
      <c r="A4" s="4" t="s">
        <v>12</v>
      </c>
      <c r="B4" s="5"/>
    </row>
    <row r="5" spans="1:2" x14ac:dyDescent="0.3">
      <c r="A5" s="6" t="s">
        <v>54</v>
      </c>
      <c r="B5" s="5">
        <v>72.116666666666646</v>
      </c>
    </row>
    <row r="6" spans="1:2" x14ac:dyDescent="0.3">
      <c r="A6" s="4" t="s">
        <v>14</v>
      </c>
      <c r="B6" s="5"/>
    </row>
    <row r="7" spans="1:2" x14ac:dyDescent="0.3">
      <c r="A7" s="6" t="s">
        <v>59</v>
      </c>
      <c r="B7" s="5">
        <v>27.499999999999982</v>
      </c>
    </row>
    <row r="8" spans="1:2" x14ac:dyDescent="0.3">
      <c r="A8" s="4" t="s">
        <v>15</v>
      </c>
      <c r="B8" s="5"/>
    </row>
    <row r="9" spans="1:2" x14ac:dyDescent="0.3">
      <c r="A9" s="6" t="s">
        <v>62</v>
      </c>
      <c r="B9" s="5">
        <v>17.933333333333323</v>
      </c>
    </row>
    <row r="10" spans="1:2" x14ac:dyDescent="0.3">
      <c r="A10" s="4" t="s">
        <v>17</v>
      </c>
      <c r="B10" s="5"/>
    </row>
    <row r="11" spans="1:2" x14ac:dyDescent="0.3">
      <c r="A11" s="6" t="s">
        <v>67</v>
      </c>
      <c r="B11" s="5">
        <v>18.283333333333321</v>
      </c>
    </row>
    <row r="12" spans="1:2" x14ac:dyDescent="0.3">
      <c r="A12" s="4" t="s">
        <v>18</v>
      </c>
      <c r="B12" s="5"/>
    </row>
    <row r="13" spans="1:2" x14ac:dyDescent="0.3">
      <c r="A13" s="6" t="s">
        <v>71</v>
      </c>
      <c r="B13" s="5">
        <v>18.316666666666663</v>
      </c>
    </row>
    <row r="14" spans="1:2" x14ac:dyDescent="0.3">
      <c r="A14" s="4" t="s">
        <v>19</v>
      </c>
      <c r="B14" s="5"/>
    </row>
    <row r="15" spans="1:2" x14ac:dyDescent="0.3">
      <c r="A15" s="6" t="s">
        <v>74</v>
      </c>
      <c r="B15" s="5">
        <v>27</v>
      </c>
    </row>
    <row r="16" spans="1:2" x14ac:dyDescent="0.3">
      <c r="A16" s="4" t="s">
        <v>20</v>
      </c>
      <c r="B16" s="5"/>
    </row>
    <row r="17" spans="1:2" x14ac:dyDescent="0.3">
      <c r="A17" s="6" t="s">
        <v>78</v>
      </c>
      <c r="B17" s="5">
        <v>27</v>
      </c>
    </row>
    <row r="18" spans="1:2" x14ac:dyDescent="0.3">
      <c r="A18" s="4" t="s">
        <v>21</v>
      </c>
      <c r="B18" s="5"/>
    </row>
    <row r="19" spans="1:2" x14ac:dyDescent="0.3">
      <c r="A19" s="6" t="s">
        <v>80</v>
      </c>
      <c r="B19" s="5">
        <v>27</v>
      </c>
    </row>
    <row r="20" spans="1:2" x14ac:dyDescent="0.3">
      <c r="A20" s="4" t="s">
        <v>23</v>
      </c>
      <c r="B20" s="5"/>
    </row>
    <row r="21" spans="1:2" x14ac:dyDescent="0.3">
      <c r="A21" s="6" t="s">
        <v>84</v>
      </c>
      <c r="B21" s="5">
        <v>27</v>
      </c>
    </row>
    <row r="22" spans="1:2" x14ac:dyDescent="0.3">
      <c r="A22" s="4" t="s">
        <v>24</v>
      </c>
      <c r="B22" s="5"/>
    </row>
    <row r="23" spans="1:2" x14ac:dyDescent="0.3">
      <c r="A23" s="6" t="s">
        <v>86</v>
      </c>
      <c r="B23" s="5">
        <v>27</v>
      </c>
    </row>
    <row r="24" spans="1:2" x14ac:dyDescent="0.3">
      <c r="A24" s="4" t="s">
        <v>25</v>
      </c>
      <c r="B24" s="5"/>
    </row>
    <row r="25" spans="1:2" x14ac:dyDescent="0.3">
      <c r="A25" s="6" t="s">
        <v>88</v>
      </c>
      <c r="B25" s="5">
        <v>27</v>
      </c>
    </row>
    <row r="26" spans="1:2" x14ac:dyDescent="0.3">
      <c r="A26" s="4" t="s">
        <v>26</v>
      </c>
      <c r="B26" s="5"/>
    </row>
    <row r="27" spans="1:2" x14ac:dyDescent="0.3">
      <c r="A27" s="6" t="s">
        <v>90</v>
      </c>
      <c r="B27" s="5">
        <v>27</v>
      </c>
    </row>
    <row r="28" spans="1:2" x14ac:dyDescent="0.3">
      <c r="A28" s="4" t="s">
        <v>27</v>
      </c>
      <c r="B28" s="5"/>
    </row>
    <row r="29" spans="1:2" x14ac:dyDescent="0.3">
      <c r="A29" s="6" t="s">
        <v>92</v>
      </c>
      <c r="B29" s="5">
        <v>27</v>
      </c>
    </row>
    <row r="30" spans="1:2" x14ac:dyDescent="0.3">
      <c r="A30" s="4" t="s">
        <v>28</v>
      </c>
      <c r="B30" s="5"/>
    </row>
    <row r="31" spans="1:2" x14ac:dyDescent="0.3">
      <c r="A31" s="6" t="s">
        <v>94</v>
      </c>
      <c r="B31" s="5">
        <v>27</v>
      </c>
    </row>
    <row r="32" spans="1:2" x14ac:dyDescent="0.3">
      <c r="A32" s="4" t="s">
        <v>29</v>
      </c>
      <c r="B32" s="5"/>
    </row>
    <row r="33" spans="1:2" x14ac:dyDescent="0.3">
      <c r="A33" s="6" t="s">
        <v>96</v>
      </c>
      <c r="B33" s="5">
        <v>27</v>
      </c>
    </row>
    <row r="34" spans="1:2" x14ac:dyDescent="0.3">
      <c r="A34" s="4" t="s">
        <v>31</v>
      </c>
      <c r="B34" s="5"/>
    </row>
    <row r="35" spans="1:2" x14ac:dyDescent="0.3">
      <c r="A35" s="6" t="s">
        <v>99</v>
      </c>
      <c r="B35" s="5">
        <v>27</v>
      </c>
    </row>
    <row r="36" spans="1:2" x14ac:dyDescent="0.3">
      <c r="A36" s="4" t="s">
        <v>32</v>
      </c>
      <c r="B36" s="5"/>
    </row>
    <row r="37" spans="1:2" x14ac:dyDescent="0.3">
      <c r="A37" s="6" t="s">
        <v>102</v>
      </c>
      <c r="B37" s="5">
        <v>27</v>
      </c>
    </row>
    <row r="38" spans="1:2" x14ac:dyDescent="0.3">
      <c r="A38" s="4" t="s">
        <v>33</v>
      </c>
      <c r="B38" s="5"/>
    </row>
    <row r="39" spans="1:2" x14ac:dyDescent="0.3">
      <c r="A39" s="6" t="s">
        <v>104</v>
      </c>
      <c r="B39" s="5">
        <v>27</v>
      </c>
    </row>
    <row r="40" spans="1:2" x14ac:dyDescent="0.3">
      <c r="A40" s="4" t="s">
        <v>34</v>
      </c>
      <c r="B40" s="5"/>
    </row>
    <row r="41" spans="1:2" x14ac:dyDescent="0.3">
      <c r="A41" s="6" t="s">
        <v>106</v>
      </c>
      <c r="B41" s="5">
        <v>27</v>
      </c>
    </row>
    <row r="42" spans="1:2" x14ac:dyDescent="0.3">
      <c r="A42" s="4" t="s">
        <v>35</v>
      </c>
      <c r="B42" s="5"/>
    </row>
    <row r="43" spans="1:2" x14ac:dyDescent="0.3">
      <c r="A43" s="6" t="s">
        <v>108</v>
      </c>
      <c r="B43" s="5">
        <v>27</v>
      </c>
    </row>
    <row r="44" spans="1:2" x14ac:dyDescent="0.3">
      <c r="A44" s="4" t="s">
        <v>36</v>
      </c>
      <c r="B44" s="5"/>
    </row>
    <row r="45" spans="1:2" x14ac:dyDescent="0.3">
      <c r="A45" s="6" t="s">
        <v>110</v>
      </c>
      <c r="B45" s="5">
        <v>27</v>
      </c>
    </row>
    <row r="46" spans="1:2" x14ac:dyDescent="0.3">
      <c r="A46" s="4" t="s">
        <v>37</v>
      </c>
      <c r="B46" s="5"/>
    </row>
    <row r="47" spans="1:2" x14ac:dyDescent="0.3">
      <c r="A47" s="6" t="s">
        <v>112</v>
      </c>
      <c r="B47" s="5">
        <v>27</v>
      </c>
    </row>
    <row r="48" spans="1:2" x14ac:dyDescent="0.3">
      <c r="A48" s="4" t="s">
        <v>38</v>
      </c>
      <c r="B48" s="5"/>
    </row>
    <row r="49" spans="1:2" x14ac:dyDescent="0.3">
      <c r="A49" s="6" t="s">
        <v>114</v>
      </c>
      <c r="B49" s="5">
        <v>27</v>
      </c>
    </row>
    <row r="50" spans="1:2" x14ac:dyDescent="0.3">
      <c r="A50" s="4" t="s">
        <v>39</v>
      </c>
      <c r="B50" s="5"/>
    </row>
    <row r="51" spans="1:2" x14ac:dyDescent="0.3">
      <c r="A51" s="6" t="s">
        <v>116</v>
      </c>
      <c r="B51" s="5">
        <v>27</v>
      </c>
    </row>
    <row r="52" spans="1:2" x14ac:dyDescent="0.3">
      <c r="A52" s="4" t="s">
        <v>40</v>
      </c>
      <c r="B52" s="5"/>
    </row>
    <row r="53" spans="1:2" x14ac:dyDescent="0.3">
      <c r="A53" s="6" t="s">
        <v>118</v>
      </c>
      <c r="B53" s="5">
        <v>27</v>
      </c>
    </row>
    <row r="54" spans="1:2" x14ac:dyDescent="0.3">
      <c r="A54" s="4" t="s">
        <v>41</v>
      </c>
      <c r="B54" s="5"/>
    </row>
    <row r="55" spans="1:2" x14ac:dyDescent="0.3">
      <c r="A55" s="6" t="s">
        <v>120</v>
      </c>
      <c r="B55" s="5">
        <v>27</v>
      </c>
    </row>
    <row r="56" spans="1:2" x14ac:dyDescent="0.3">
      <c r="A56" s="4" t="s">
        <v>42</v>
      </c>
      <c r="B56" s="5"/>
    </row>
    <row r="57" spans="1:2" x14ac:dyDescent="0.3">
      <c r="A57" s="6" t="s">
        <v>122</v>
      </c>
      <c r="B57" s="5">
        <v>27</v>
      </c>
    </row>
    <row r="58" spans="1:2" x14ac:dyDescent="0.3">
      <c r="A58" s="4" t="s">
        <v>43</v>
      </c>
      <c r="B58" s="5"/>
    </row>
    <row r="59" spans="1:2" x14ac:dyDescent="0.3">
      <c r="A59" s="6" t="s">
        <v>124</v>
      </c>
      <c r="B59" s="5">
        <v>27</v>
      </c>
    </row>
    <row r="60" spans="1:2" x14ac:dyDescent="0.3">
      <c r="A60" s="4" t="s">
        <v>44</v>
      </c>
      <c r="B60" s="5"/>
    </row>
    <row r="61" spans="1:2" x14ac:dyDescent="0.3">
      <c r="A61" s="6" t="s">
        <v>126</v>
      </c>
      <c r="B61" s="5">
        <v>27</v>
      </c>
    </row>
    <row r="62" spans="1:2" x14ac:dyDescent="0.3">
      <c r="A62" s="4" t="s">
        <v>45</v>
      </c>
      <c r="B62" s="5"/>
    </row>
    <row r="63" spans="1:2" x14ac:dyDescent="0.3">
      <c r="A63" s="6" t="s">
        <v>128</v>
      </c>
      <c r="B63" s="5">
        <v>27</v>
      </c>
    </row>
    <row r="64" spans="1:2" x14ac:dyDescent="0.3">
      <c r="A64" s="4" t="s">
        <v>131</v>
      </c>
      <c r="B64" s="5">
        <v>829.14999999999986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DD6B8-B460-44AD-8950-ED6CCCD87320}">
  <dimension ref="A3:B9"/>
  <sheetViews>
    <sheetView workbookViewId="0">
      <selection activeCell="A4" sqref="A4"/>
    </sheetView>
  </sheetViews>
  <sheetFormatPr defaultRowHeight="14.4" x14ac:dyDescent="0.3"/>
  <cols>
    <col min="1" max="1" width="15.6640625" bestFit="1" customWidth="1"/>
    <col min="2" max="2" width="21" bestFit="1" customWidth="1"/>
  </cols>
  <sheetData>
    <row r="3" spans="1:2" x14ac:dyDescent="0.3">
      <c r="A3" s="3" t="s">
        <v>130</v>
      </c>
      <c r="B3" t="s">
        <v>133</v>
      </c>
    </row>
    <row r="4" spans="1:2" x14ac:dyDescent="0.3">
      <c r="A4" s="4" t="s">
        <v>58</v>
      </c>
      <c r="B4" s="5">
        <v>26.616666666666639</v>
      </c>
    </row>
    <row r="5" spans="1:2" x14ac:dyDescent="0.3">
      <c r="A5" s="4" t="s">
        <v>70</v>
      </c>
      <c r="B5" s="5">
        <v>19.59999999999998</v>
      </c>
    </row>
    <row r="6" spans="1:2" x14ac:dyDescent="0.3">
      <c r="A6" s="4" t="s">
        <v>77</v>
      </c>
      <c r="B6" s="5">
        <v>18</v>
      </c>
    </row>
    <row r="7" spans="1:2" x14ac:dyDescent="0.3">
      <c r="A7" s="4" t="s">
        <v>66</v>
      </c>
      <c r="B7" s="5">
        <v>13.933333333333326</v>
      </c>
    </row>
    <row r="8" spans="1:2" x14ac:dyDescent="0.3">
      <c r="A8" s="4" t="s">
        <v>83</v>
      </c>
      <c r="B8" s="5">
        <v>15</v>
      </c>
    </row>
    <row r="9" spans="1:2" x14ac:dyDescent="0.3">
      <c r="A9" s="4" t="s">
        <v>131</v>
      </c>
      <c r="B9" s="5">
        <v>93.149999999999935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683F0-7364-469E-8395-7606510B70F2}">
  <dimension ref="A3:B9"/>
  <sheetViews>
    <sheetView tabSelected="1" workbookViewId="0">
      <selection activeCell="I6" sqref="I6"/>
    </sheetView>
  </sheetViews>
  <sheetFormatPr defaultRowHeight="14.4" x14ac:dyDescent="0.3"/>
  <cols>
    <col min="1" max="1" width="15.6640625" bestFit="1" customWidth="1"/>
    <col min="2" max="2" width="19.88671875" bestFit="1" customWidth="1"/>
  </cols>
  <sheetData>
    <row r="3" spans="1:2" x14ac:dyDescent="0.3">
      <c r="A3" s="3" t="s">
        <v>130</v>
      </c>
      <c r="B3" t="s">
        <v>134</v>
      </c>
    </row>
    <row r="4" spans="1:2" x14ac:dyDescent="0.3">
      <c r="A4" s="4" t="s">
        <v>58</v>
      </c>
      <c r="B4" s="5">
        <v>26</v>
      </c>
    </row>
    <row r="5" spans="1:2" x14ac:dyDescent="0.3">
      <c r="A5" s="4" t="s">
        <v>70</v>
      </c>
      <c r="B5" s="5">
        <v>19</v>
      </c>
    </row>
    <row r="6" spans="1:2" x14ac:dyDescent="0.3">
      <c r="A6" s="4" t="s">
        <v>77</v>
      </c>
      <c r="B6" s="5">
        <v>18</v>
      </c>
    </row>
    <row r="7" spans="1:2" x14ac:dyDescent="0.3">
      <c r="A7" s="4" t="s">
        <v>66</v>
      </c>
      <c r="B7" s="5">
        <v>14</v>
      </c>
    </row>
    <row r="8" spans="1:2" x14ac:dyDescent="0.3">
      <c r="A8" s="4" t="s">
        <v>83</v>
      </c>
      <c r="B8" s="5">
        <v>15</v>
      </c>
    </row>
    <row r="9" spans="1:2" x14ac:dyDescent="0.3">
      <c r="A9" s="4" t="s">
        <v>131</v>
      </c>
      <c r="B9" s="5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hr_daily_fact</vt:lpstr>
      <vt:lpstr>hr_employee_dim</vt:lpstr>
      <vt:lpstr>Monthly Worked Hours</vt:lpstr>
      <vt:lpstr>Overtime Summary</vt:lpstr>
      <vt:lpstr>Department Strength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Mohamed Yasin</cp:lastModifiedBy>
  <dcterms:created xsi:type="dcterms:W3CDTF">2025-12-10T07:04:05Z</dcterms:created>
  <dcterms:modified xsi:type="dcterms:W3CDTF">2025-12-10T07:24:56Z</dcterms:modified>
</cp:coreProperties>
</file>